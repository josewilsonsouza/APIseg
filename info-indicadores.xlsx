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B:\"/>
    </mc:Choice>
  </mc:AlternateContent>
  <xr:revisionPtr revIDLastSave="0" documentId="13_ncr:1_{78823AC0-AC60-4821-BA5D-9E6ED852197D}" xr6:coauthVersionLast="47" xr6:coauthVersionMax="47" xr10:uidLastSave="{00000000-0000-0000-0000-000000000000}"/>
  <bookViews>
    <workbookView xWindow="-103" yWindow="-103" windowWidth="16663" windowHeight="9772" tabRatio="722" xr2:uid="{00000000-000D-0000-FFFF-FFFF00000000}"/>
  </bookViews>
  <sheets>
    <sheet name="Indicadores_DataSeg" sheetId="4" r:id="rId1"/>
    <sheet name="legenda" sheetId="2" state="hidden" r:id="rId2"/>
    <sheet name="Proposta de novos indicadores" sheetId="3" state="hidden" r:id="rId3"/>
    <sheet name="Mapeamento Bases Susep" sheetId="5" state="hidden" r:id="rId4"/>
    <sheet name="Mapeamento Indicadores" sheetId="6" state="hidden" r:id="rId5"/>
  </sheets>
  <definedNames>
    <definedName name="_AMO_UniqueIdentifier" hidden="1">"'f88fab61-5bc2-4e47-8bb1-bc44611eac0d'"</definedName>
    <definedName name="_xlnm._FilterDatabase" localSheetId="0" hidden="1">Indicadores_DataSeg!$A$1:$K$291</definedName>
    <definedName name="_xlnm._FilterDatabase" localSheetId="3" hidden="1">'Mapeamento Bases Susep'!$A$1:$C$438</definedName>
    <definedName name="_xlnm._FilterDatabase" localSheetId="4" hidden="1">'Mapeamento Indicadores'!$A$1:$B$118</definedName>
    <definedName name="_xlnm._FilterDatabase" localSheetId="2" hidden="1">'Proposta de novos indicadores'!$A$2:$K$12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3" i="4" l="1"/>
  <c r="G143" i="4"/>
  <c r="G137" i="4"/>
  <c r="C41" i="4"/>
  <c r="G38" i="4"/>
  <c r="D38" i="4"/>
  <c r="B38" i="4"/>
  <c r="A38" i="4"/>
  <c r="G37" i="4"/>
  <c r="D37" i="4"/>
  <c r="B37" i="4"/>
  <c r="A37" i="4"/>
  <c r="G36" i="4"/>
  <c r="D36" i="4"/>
  <c r="B36" i="4"/>
  <c r="A36" i="4"/>
  <c r="D31" i="4"/>
  <c r="D43" i="4" s="1"/>
  <c r="B31" i="4"/>
  <c r="B43" i="4" s="1"/>
  <c r="A31" i="4"/>
  <c r="A43" i="4" s="1"/>
  <c r="D30" i="4"/>
  <c r="D42" i="4" s="1"/>
  <c r="C30" i="4"/>
  <c r="C42" i="4" s="1"/>
  <c r="B30" i="4"/>
  <c r="B42" i="4" s="1"/>
  <c r="A30" i="4"/>
  <c r="A42" i="4" s="1"/>
  <c r="G29" i="4"/>
  <c r="G41" i="4" s="1"/>
  <c r="D29" i="4"/>
  <c r="D41" i="4" s="1"/>
  <c r="B29" i="4"/>
  <c r="B41" i="4" s="1"/>
  <c r="A41" i="4"/>
  <c r="K26" i="4"/>
  <c r="K38" i="4" s="1"/>
  <c r="K48" i="4" s="1"/>
  <c r="K59" i="4" s="1"/>
  <c r="G26" i="4"/>
  <c r="D26" i="4"/>
  <c r="B26" i="4"/>
  <c r="A26" i="4"/>
  <c r="K37" i="4"/>
  <c r="K3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Fernanda Chaves Pereira</author>
    <author>Gabriela Xavier K Ribeiro</author>
    <author>Thiago Rodrigues Ayres</author>
    <author>Juliana Tavares</author>
  </authors>
  <commentList>
    <comment ref="A32" authorId="0" shapeId="0" xr:uid="{00000000-0006-0000-0000-000001000000}">
      <text>
        <r>
          <rPr>
            <sz val="9"/>
            <color indexed="81"/>
            <rFont val="Tahoma"/>
            <family val="2"/>
          </rPr>
          <t>Incluir Capitalização. "Devolução e Cancelamento" existe no DRE (linha 108), que se entende como cancelamento na emissão. Observe que este valor não deve ser o mesmo que "Cancelamento" durante a vigência que possivelmente está no BD do SES. A verificar</t>
        </r>
      </text>
    </comment>
    <comment ref="A34" authorId="1" shapeId="0" xr:uid="{00000000-0006-0000-0000-000002000000}">
      <text>
        <r>
          <rPr>
            <b/>
            <sz val="9"/>
            <color indexed="81"/>
            <rFont val="Tahoma"/>
            <family val="2"/>
          </rPr>
          <t>Gabriela Xavier K Ribeiro:</t>
        </r>
        <r>
          <rPr>
            <sz val="9"/>
            <color indexed="81"/>
            <rFont val="Tahoma"/>
            <family val="2"/>
          </rPr>
          <t xml:space="preserve">
Este indicador só terá valores até nov/13</t>
        </r>
      </text>
    </comment>
    <comment ref="K36" authorId="2" shapeId="0" xr:uid="{00000000-0006-0000-0000-000003000000}">
      <text>
        <r>
          <rPr>
            <b/>
            <sz val="9"/>
            <color indexed="81"/>
            <rFont val="Tahoma"/>
            <family val="2"/>
          </rPr>
          <t>Thiago Rodrigues Ayres:</t>
        </r>
        <r>
          <rPr>
            <sz val="9"/>
            <color indexed="81"/>
            <rFont val="Tahoma"/>
            <family val="2"/>
          </rPr>
          <t xml:space="preserve">
Ainda vai ser chancelado pela FenaSaúde: 311 ou 31?</t>
        </r>
      </text>
    </comment>
    <comment ref="K37" authorId="2" shapeId="0" xr:uid="{00000000-0006-0000-0000-000004000000}">
      <text>
        <r>
          <rPr>
            <b/>
            <sz val="9"/>
            <color indexed="81"/>
            <rFont val="Tahoma"/>
            <family val="2"/>
          </rPr>
          <t>Thiago Rodrigues Ayres:</t>
        </r>
        <r>
          <rPr>
            <sz val="9"/>
            <color indexed="81"/>
            <rFont val="Tahoma"/>
            <family val="2"/>
          </rPr>
          <t xml:space="preserve">
Ainda vai ser chancelado pela FenaSaúde: 311 ou 31?</t>
        </r>
      </text>
    </comment>
    <comment ref="K38" authorId="2" shapeId="0" xr:uid="{00000000-0006-0000-0000-000005000000}">
      <text>
        <r>
          <rPr>
            <b/>
            <sz val="9"/>
            <color indexed="81"/>
            <rFont val="Tahoma"/>
            <family val="2"/>
          </rPr>
          <t>Thiago Rodrigues Ayres:</t>
        </r>
        <r>
          <rPr>
            <sz val="9"/>
            <color indexed="81"/>
            <rFont val="Tahoma"/>
            <family val="2"/>
          </rPr>
          <t xml:space="preserve">
Ainda vai ser chancelado pela FenaSaúde: 311 ou 31?</t>
        </r>
      </text>
    </comment>
    <comment ref="K48" authorId="2" shapeId="0" xr:uid="{00000000-0006-0000-0000-000006000000}">
      <text>
        <r>
          <rPr>
            <b/>
            <sz val="9"/>
            <color indexed="81"/>
            <rFont val="Tahoma"/>
            <family val="2"/>
          </rPr>
          <t>Thiago Rodrigues Ayres:</t>
        </r>
        <r>
          <rPr>
            <sz val="9"/>
            <color indexed="81"/>
            <rFont val="Tahoma"/>
            <family val="2"/>
          </rPr>
          <t xml:space="preserve">
Ainda vai ser chancelado pela FenaSaúde: 311 ou 31?</t>
        </r>
      </text>
    </comment>
    <comment ref="K59" authorId="2" shapeId="0" xr:uid="{00000000-0006-0000-0000-000007000000}">
      <text>
        <r>
          <rPr>
            <b/>
            <sz val="9"/>
            <color indexed="81"/>
            <rFont val="Tahoma"/>
            <family val="2"/>
          </rPr>
          <t>Thiago Rodrigues Ayres:</t>
        </r>
        <r>
          <rPr>
            <sz val="9"/>
            <color indexed="81"/>
            <rFont val="Tahoma"/>
            <family val="2"/>
          </rPr>
          <t xml:space="preserve">
Ainda vai ser chancelado pela FenaSaúde: 311 ou 31?</t>
        </r>
      </text>
    </comment>
    <comment ref="G116" authorId="3" shapeId="0" xr:uid="{00000000-0006-0000-0000-000008000000}">
      <text>
        <r>
          <rPr>
            <b/>
            <sz val="9"/>
            <color indexed="81"/>
            <rFont val="Tahoma"/>
            <family val="2"/>
          </rPr>
          <t>Juliana Tavares:</t>
        </r>
        <r>
          <rPr>
            <sz val="9"/>
            <color indexed="81"/>
            <rFont val="Tahoma"/>
            <family val="2"/>
          </rPr>
          <t xml:space="preserve">
antes era da ses_rmovram
Alterado em 26.02</t>
        </r>
      </text>
    </comment>
    <comment ref="H116" authorId="3" shapeId="0" xr:uid="{00000000-0006-0000-0000-000009000000}">
      <text>
        <r>
          <rPr>
            <b/>
            <sz val="9"/>
            <color indexed="81"/>
            <rFont val="Tahoma"/>
            <family val="2"/>
          </rPr>
          <t>Juliana Tavares:</t>
        </r>
        <r>
          <rPr>
            <sz val="9"/>
            <color indexed="81"/>
            <rFont val="Tahoma"/>
            <family val="2"/>
          </rPr>
          <t xml:space="preserve">
antes era da coluna MRASINRETSALVRESSARC
alteração feita em 26.02</t>
        </r>
      </text>
    </comment>
  </commentList>
</comments>
</file>

<file path=xl/sharedStrings.xml><?xml version="1.0" encoding="utf-8"?>
<sst xmlns="http://schemas.openxmlformats.org/spreadsheetml/2006/main" count="3055" uniqueCount="1098">
  <si>
    <t>Descrição</t>
  </si>
  <si>
    <t>Variável</t>
  </si>
  <si>
    <t>Origem dos dados</t>
  </si>
  <si>
    <t>Nome do indicador no DATASEG</t>
  </si>
  <si>
    <t>Prêmio direto = Prêmio Emitido - Cancelamento - Restituição - Desconto</t>
  </si>
  <si>
    <t>Capitalilzação</t>
  </si>
  <si>
    <t>Tabela</t>
  </si>
  <si>
    <t>Especificação</t>
  </si>
  <si>
    <t>DIOPS</t>
  </si>
  <si>
    <t>Os indicadores que estão em negrito representam o somatório de outos indicadores.</t>
  </si>
  <si>
    <t>Sinistro retido</t>
  </si>
  <si>
    <t>ses_seguros</t>
  </si>
  <si>
    <t>ses_cap_uf</t>
  </si>
  <si>
    <t>coluna: RESGPAGO</t>
  </si>
  <si>
    <t>ses_prev_uf</t>
  </si>
  <si>
    <t>ses_balanço</t>
  </si>
  <si>
    <t>Prêmio de seguro/Cosseguro aceito</t>
  </si>
  <si>
    <t>Sinistro avisado/Cosseguro aceito</t>
  </si>
  <si>
    <t>Prêmio de seguro/Cosseguro cedido</t>
  </si>
  <si>
    <t>Sinistro avisado/Cosseguro cedido</t>
  </si>
  <si>
    <t>Grupo do indicador</t>
  </si>
  <si>
    <t>GERAL</t>
  </si>
  <si>
    <t>ANS</t>
  </si>
  <si>
    <t>SUSEP</t>
  </si>
  <si>
    <t>ses_prov</t>
  </si>
  <si>
    <t>ses_pl_margem</t>
  </si>
  <si>
    <t>coluna: VALOR</t>
  </si>
  <si>
    <t>coluna: PLAJUSTADO</t>
  </si>
  <si>
    <t>conta 1 do balanço</t>
  </si>
  <si>
    <t>conta 25 do balanço</t>
  </si>
  <si>
    <t>PIB</t>
  </si>
  <si>
    <t>Produto Interno Bruto</t>
  </si>
  <si>
    <t>Banco Central do Brasil</t>
  </si>
  <si>
    <t>População Brasileira</t>
  </si>
  <si>
    <t>Número de habitantes no terrritório Nacional</t>
  </si>
  <si>
    <t>IBGE</t>
  </si>
  <si>
    <t>Receita financeira - Despesa financeira</t>
  </si>
  <si>
    <t>ses_balanço
DIOPS</t>
  </si>
  <si>
    <t>Imposto de Renda Pessoa Jurídica</t>
  </si>
  <si>
    <t>Medidas</t>
  </si>
  <si>
    <t>ses_vgbl_fundos</t>
  </si>
  <si>
    <t>coluna:FUNDOS</t>
  </si>
  <si>
    <t>Resgate VGBL total</t>
  </si>
  <si>
    <t>Resgate VGBL parcial</t>
  </si>
  <si>
    <t>ses_vgbl_resgates</t>
  </si>
  <si>
    <t>coluna: RESG_TOTAL</t>
  </si>
  <si>
    <t>coluna: RESG_PARCIAL</t>
  </si>
  <si>
    <t>Resgate PGBL total</t>
  </si>
  <si>
    <t>Resgate PGBL parcial</t>
  </si>
  <si>
    <t>ses_pgbl_resgates</t>
  </si>
  <si>
    <t>Os valores equivalem ao indicador Contribuição Previdência (UF) pois vêm da mesma tabela. A separação foi feita apenas para facilitar o uso do dataseg.</t>
  </si>
  <si>
    <t>Resgate PGBL</t>
  </si>
  <si>
    <t>ses_quantcap</t>
  </si>
  <si>
    <t>coluna: ESTOQUE_TITULOS</t>
  </si>
  <si>
    <t>coluna: RESGATADOS</t>
  </si>
  <si>
    <t>coluna: CANCELADOS</t>
  </si>
  <si>
    <t>Provisão Capitalização</t>
  </si>
  <si>
    <t>coluna: VALOR filtrando apenas em empresas de capitalização</t>
  </si>
  <si>
    <t>coluna: RESGATANTES</t>
  </si>
  <si>
    <t>coluna: SORTEIOS</t>
  </si>
  <si>
    <t>Contraprestação/Odontológico</t>
  </si>
  <si>
    <t>TABNET</t>
  </si>
  <si>
    <t>Indicadores ocultos</t>
  </si>
  <si>
    <t>x</t>
  </si>
  <si>
    <t>Sinistro retido/indenização/sorteio/resgate</t>
  </si>
  <si>
    <t>Contraprestação não segregável</t>
  </si>
  <si>
    <t>Observações</t>
  </si>
  <si>
    <t>Tem que somar a 311 (Contraprestação Líquida)</t>
  </si>
  <si>
    <t>Contribuição PGBL</t>
  </si>
  <si>
    <t>ses_seguros e ses_uf2</t>
  </si>
  <si>
    <t>Médico-Hospitalar</t>
  </si>
  <si>
    <t>Odontológico</t>
  </si>
  <si>
    <t>Não segregável</t>
  </si>
  <si>
    <t>PGBL</t>
  </si>
  <si>
    <t>Planos Tradicionais</t>
  </si>
  <si>
    <t>Resgates capitalização pagos</t>
  </si>
  <si>
    <t>Sorteios capitalização pagos</t>
  </si>
  <si>
    <t>Benefícios PGBL pagos</t>
  </si>
  <si>
    <t>Resgates PGBL pagos</t>
  </si>
  <si>
    <t>Capitalização</t>
  </si>
  <si>
    <t>ses_seguros e ses_balanco</t>
  </si>
  <si>
    <t>Seguros</t>
  </si>
  <si>
    <t>Prêmio emitido Seguros</t>
  </si>
  <si>
    <t xml:space="preserve">Seguros </t>
  </si>
  <si>
    <t>ses_balanco</t>
  </si>
  <si>
    <t>Despesa com Tributo Saúde Suplementar</t>
  </si>
  <si>
    <t>Não inclui Saúde Suplementar, Capitalização e Previdência</t>
  </si>
  <si>
    <t>Total das recuperações em salvados e ressarcimentos no mês de referência, com exceção dos valores referentes a retrocessão aceita, que deverão ser informados no campo Salvados e Ressarcidos de Retrocessão</t>
  </si>
  <si>
    <t>Ativo Saúde Suplementar</t>
  </si>
  <si>
    <t>Provisão Saúde Suplementar</t>
  </si>
  <si>
    <t>PL Saúde Suplementar</t>
  </si>
  <si>
    <t>Tem que somar a 41.</t>
  </si>
  <si>
    <t>Coluna prêmio_ganho</t>
  </si>
  <si>
    <t>coluna: VALOR filtrando na coluna CMPID a conta 1039</t>
  </si>
  <si>
    <t>Corresponde ao total dos prêmios emitidos cancelados no mês de referência</t>
  </si>
  <si>
    <t>Corresponde ao total dos prêmios emitidos restituídos no mês de referência</t>
  </si>
  <si>
    <t>Equivale ao total da arrecadação - devoluções e cancelamento</t>
  </si>
  <si>
    <t>Prêmio de seguro/Resseguro admitido</t>
  </si>
  <si>
    <t>Somente para os ramos da 395. Não existente para Saúde e Previdência (Planos Tradicionais e PGBL)</t>
  </si>
  <si>
    <t>Arrecadação do Mercado Segurador/Premio direto</t>
  </si>
  <si>
    <t>Despesa de comercialização do Mercado Segurador</t>
  </si>
  <si>
    <t>Prêmio de seguro/Resseguro eventual</t>
  </si>
  <si>
    <t>Prêmio de seguro/Resseguro local</t>
  </si>
  <si>
    <t>Provisão previdência tradicional</t>
  </si>
  <si>
    <t xml:space="preserve">Devolução e Cancelamento de Títulos de Capitalização </t>
  </si>
  <si>
    <t>Salvados</t>
  </si>
  <si>
    <t>Forma como o indicador deve ser carregado</t>
  </si>
  <si>
    <t>DESACUMULADO</t>
  </si>
  <si>
    <t>Desacumulado</t>
  </si>
  <si>
    <t>Prêmios de seguros cancelados</t>
  </si>
  <si>
    <t>Prêmios de seguros restituídos</t>
  </si>
  <si>
    <t>Contraprestação/Médico-hospitalar</t>
  </si>
  <si>
    <t xml:space="preserve">Prêmio direto seguros </t>
  </si>
  <si>
    <t>Faturamento capitalização</t>
  </si>
  <si>
    <t>Contribuição previdência</t>
  </si>
  <si>
    <t>Prêmio ganho seguros</t>
  </si>
  <si>
    <t>Benefícios previdência pagos</t>
  </si>
  <si>
    <t>Resgates previdência pagos</t>
  </si>
  <si>
    <t>Eventos indenizáveis/Médico-hospitalar</t>
  </si>
  <si>
    <t>Eventos indenizáveis/Odontológico</t>
  </si>
  <si>
    <t>Despesa de comercialização Saúde Suplementar</t>
  </si>
  <si>
    <t>Despesa de comercialização Seguros</t>
  </si>
  <si>
    <t>Despesa de comercialização Previdência</t>
  </si>
  <si>
    <t>Despesa de comercialização PGBL</t>
  </si>
  <si>
    <t>Despesa de comercialização Capitalização</t>
  </si>
  <si>
    <t>Despesa administrativa do Mercado Segurador sem tributos</t>
  </si>
  <si>
    <t>Somente a parte proveniente da tabela ses_balanço deve ser desacumulada.</t>
  </si>
  <si>
    <t>Indicador que representa o somatório dos indicadores:
Provisão médico-hospitalar e Provisão odontológico</t>
  </si>
  <si>
    <t>Provisão médico-hospitalar</t>
  </si>
  <si>
    <t>Provisão odontológico</t>
  </si>
  <si>
    <t>Indicadores Financeiros</t>
  </si>
  <si>
    <t>Dados Sociais</t>
  </si>
  <si>
    <t>Despesa com tributo do Mercado Segurador</t>
  </si>
  <si>
    <t>Contribuição social do Mercado Segurador</t>
  </si>
  <si>
    <t>Provisão matemática de benefícios a conceder (VGBL)</t>
  </si>
  <si>
    <t>Resgates VGBL</t>
  </si>
  <si>
    <t>Indicador que representa a soma dos indicadores: 
Resgate VGBL total + Resgate VGBL parcial</t>
  </si>
  <si>
    <t>Indicador que representa a soma dos indicadores: 
Resgate PGBL total + Resgate PGBL parcial</t>
  </si>
  <si>
    <t>Provisão matemática de benefícios a conceder (PGBL)</t>
  </si>
  <si>
    <t>Títulos de Capitalização/Quantidade estoque</t>
  </si>
  <si>
    <t>Títulos de Capitalização/Quantidade resgatados</t>
  </si>
  <si>
    <t>Títulos de Capitalização/Quantidade cancelados</t>
  </si>
  <si>
    <t>Número de resgatantes de títulos de Capitalização</t>
  </si>
  <si>
    <t>Número de sorteios de títulos de Capitalização</t>
  </si>
  <si>
    <t>Número de beneficiários total</t>
  </si>
  <si>
    <t>Número de beneficiários/Odontológico</t>
  </si>
  <si>
    <t>Indicador que representa o somatório dos indicadores:
IRPJ do Mercado Segurador + Contribuição social do Mercado Segurador + Despesa com tributo do Mercado Segurador</t>
  </si>
  <si>
    <t>Sinistro direto</t>
  </si>
  <si>
    <t>IRPJ do Mercado Segurador</t>
  </si>
  <si>
    <t>Indicador que representa o somatório dos indicadores:
Eventos indenizáveis/Médico-hospitalar e Eventos indenizáveis/Odontológico</t>
  </si>
  <si>
    <t xml:space="preserve">Eventos Indenizáveis </t>
  </si>
  <si>
    <t>Sinistro avisado/Resseguro admitido</t>
  </si>
  <si>
    <t>Sinistro avisado/Resseguro eventual</t>
  </si>
  <si>
    <t>Sinistro avisado/Resseguro local</t>
  </si>
  <si>
    <t>DESACUMULADO (A conferir)</t>
  </si>
  <si>
    <t>coluna: cmpid filtrada nas contas 3252, 3259, 3307 e 3312 ( a partir de 2011)</t>
  </si>
  <si>
    <t>Provisão previdência</t>
  </si>
  <si>
    <t>coluna: cmpid filtrada nas contas 3252, 3259, 3307 e 3312 ( até 2010)</t>
  </si>
  <si>
    <t>diferença entre as contas: 311 - (contas relativas à contraprestação/Médico-hospitalar + contas relativas à Contraprestação/Odontológico)</t>
  </si>
  <si>
    <t>Número de beneficiários/Médico-hospitalar</t>
  </si>
  <si>
    <t>Deve ser carregado como índice e não como taxa, a fim de que só tenha um único indicador no cubo.</t>
  </si>
  <si>
    <t>Contribuição planos tradicionais de risco</t>
  </si>
  <si>
    <t>Fator Risco Planos Tradicionais</t>
  </si>
  <si>
    <t>Contribuição planos tradicionais de acumulação</t>
  </si>
  <si>
    <t>Resgates planos tradicionais de risco</t>
  </si>
  <si>
    <t>Resgates planos tradicionais de acumulação</t>
  </si>
  <si>
    <t>Provisão planos tradicionais de risco</t>
  </si>
  <si>
    <t>Provisão planos tradicionais de acumulação</t>
  </si>
  <si>
    <t>Resgates totais planos tradicionais de risco</t>
  </si>
  <si>
    <t>Resgates totais planos tradicionais de acumulação</t>
  </si>
  <si>
    <t>Resgates parciais planos tradicionais de risco</t>
  </si>
  <si>
    <t>Resgates parciais planos tradicionais de acumulação</t>
  </si>
  <si>
    <t>Deve estar alocado no ramo "Planos tradicionais"</t>
  </si>
  <si>
    <t>ses_balanço e DIOPS</t>
  </si>
  <si>
    <t>Ativo Seguradoras, Capitalização, EAPC e Resseguradoras locais</t>
  </si>
  <si>
    <t>Provisão Seguradoras, Capitalização, EAPC e Resseguradoras locais</t>
  </si>
  <si>
    <t>PLA Seguradoras, Capitalização, EAPC e Resseguradoras locais</t>
  </si>
  <si>
    <t>Impostos Recolhidos do Mercado Segurador (IRPJ + Despesa com Tributo + Contribuição Social)</t>
  </si>
  <si>
    <t>Resultado Financeiro do Mercado Segurador</t>
  </si>
  <si>
    <t>Indicador que representa o somatório dos indicadores: 
Prêmio direto Seguros Gerais + Prêmio direto Seguro de Pessoas+ Faturamento Capitalização + Contribuição Previdenciária + Contribuição PGBL</t>
  </si>
  <si>
    <t>Indicador que representa o somatório dos indicadores:
Prêmio ganho Seguros Gerais + Prêmio ganho Seguro de Pessoas+ Faturamento Capitalização + Contribuição Previdenciária + Contribuição PGBL (UF)</t>
  </si>
  <si>
    <t>Indicador que representa o somatório dos indicadores: 
Prêmio emitido Seguros Gerais + Prêmio emitido Seguro de Pessoas+ Faturamento Capitalização + Contribuição Previdenciária + Contribuição PGBL</t>
  </si>
  <si>
    <t>Contribuição Social Seguradoras, Capitalização, EAPC e Resseguradoras locais</t>
  </si>
  <si>
    <t>Despesa Administrativa Seguradoras, Capitalização, EAPC e Resseguradoras locais</t>
  </si>
  <si>
    <t>Despesa de Comercialização Seguradoras, Capitalização e EAPC</t>
  </si>
  <si>
    <t>conta 43 do balanço</t>
  </si>
  <si>
    <t>coluna: DESP_COM 
coluna: VALOR filtrando em CMPID as contas 4066, 11256, 4056, 6260 e 11249.</t>
  </si>
  <si>
    <t>Impostos Recolhidos Seguradoras, Capitalização, EAPC e Resseguradoras locais</t>
  </si>
  <si>
    <t>coluna: VALOR filtrando na colulna CMPID as contas 4081 e 6576 (a partir de 04/2008).</t>
  </si>
  <si>
    <t>Resultado Financeiro Seguradoras, Capitalização e EAPC</t>
  </si>
  <si>
    <t>Contraprestações líquidas</t>
  </si>
  <si>
    <t>Indicador que representa o somatório dos indicadores: 
Contraprestação/Médico-Hospitalar + Contraprestação/Odontológico + Contraprestação não segregável</t>
  </si>
  <si>
    <t>Contribuição Social Saúde Suplementar</t>
  </si>
  <si>
    <t xml:space="preserve">conta 6112 do balanço </t>
  </si>
  <si>
    <t>coluna: VALOR filtrando na colulna CMPID as contas 4080 e 6577 (a partir de 04/2008)</t>
  </si>
  <si>
    <t>Despesa Administrativa sem Tributos Saúde Suplementar</t>
  </si>
  <si>
    <t>Impostos Recolhidos Saúde Suplementar"</t>
  </si>
  <si>
    <t>IRPJ Saúde Suplementar</t>
  </si>
  <si>
    <t>conta 6111 do balanço</t>
  </si>
  <si>
    <t>Resultado Financeiro Saúde Suplementar</t>
  </si>
  <si>
    <t>contas antes de 2008: 1603 e 4061; e conta 6310 a partir de 2008</t>
  </si>
  <si>
    <t>IPCA índice</t>
  </si>
  <si>
    <t>A proporção constante no arquivo "B:\NUCLEO DE ESTUDOS\Novas Estatísticas\CEM\Compêndio de Relatórios\20140512_proporcao_risco_fenaprevi.xlsx" deve ser aplicada na tabela: ses_prev_trad_resgates.csv, coluna: resg total</t>
  </si>
  <si>
    <t>A proporção constante no arquivo "B:\NUCLEO DE ESTUDOS\Novas Estatísticas\CEM\Compêndio de Relatórios\20140512_proporcao_risco_fenaprevi.xlsx" deve ser aplicada na tabela: ses_prev_trad_resgates.csv, coluna: resg parcial</t>
  </si>
  <si>
    <t>ses_prev_trad_resgates.csv</t>
  </si>
  <si>
    <t>coluna: resg total</t>
  </si>
  <si>
    <t>Coluna: resg parcial</t>
  </si>
  <si>
    <t>Indicador que representa o somatório dos indicadores:
Resultado Financeiro Saúde Suplementar e Resultado Financeiro Seguradoras, Capitalização e EAPC</t>
  </si>
  <si>
    <t>Indicador que representa o somatório dos indicadores:
Contribuição Social Seguradoras, Capitalização, EAPC e Resseguradoras locais e Contribuição Social Saúde Suplementar</t>
  </si>
  <si>
    <r>
      <t xml:space="preserve">Somente para os ramos da 395. Não existente para Saúde, </t>
    </r>
    <r>
      <rPr>
        <u/>
        <sz val="9"/>
        <rFont val="Calibri"/>
        <family val="2"/>
      </rPr>
      <t>Capitalização</t>
    </r>
    <r>
      <rPr>
        <sz val="9"/>
        <rFont val="Calibri"/>
        <family val="2"/>
        <scheme val="minor"/>
      </rPr>
      <t xml:space="preserve"> e Previdência.</t>
    </r>
  </si>
  <si>
    <t>ses_seguros, ses_uf2 e ses_valoresmovramos</t>
  </si>
  <si>
    <t>coluna: PREMIO_GANHO (até nov/13)</t>
  </si>
  <si>
    <t>diferença entre as contas: 311 - (contas relativas à contraprestação/Médico-hospitalar + contas relativas à Contraprestação/Odontológico) (até nov/13)</t>
  </si>
  <si>
    <t>ses_valoresmovramos</t>
  </si>
  <si>
    <t>ses_seguros e ses_valoresmovramos</t>
  </si>
  <si>
    <t>conta: proporção feita na ses_uf2 (SIN_DIR) aplicado no ses_seguros (SINISTRO_DIRETO) (até nov/13) e ses_uf2 (SIN_DIR) (a partir de dez/13)</t>
  </si>
  <si>
    <t>Sinistro ocorrido</t>
  </si>
  <si>
    <t>Recuperações com resseguro de indenizações</t>
  </si>
  <si>
    <t>cmpID 12217</t>
  </si>
  <si>
    <t>Arrecadação do Mercado Segurador/Premio ganho</t>
  </si>
  <si>
    <t>coluna: SALVADOS (até nov/13) e cmpID 12207 (a partir de dez/13)</t>
  </si>
  <si>
    <t>SES_UF2 e ses_valoresmovramos</t>
  </si>
  <si>
    <t>PL Seguradoras, Capitalização, EAPC e Resseguradoras locais</t>
  </si>
  <si>
    <t>coluna: SINISTRO_RETIDO da tabela ses_seguros (até nov/13) e cmpID 12231 da tabela ses_valoresmovramos + coluna despesa_beneficios - coluna rec_despesa_beneficios da tabela ses_seguros (a partir de dez/13)</t>
  </si>
  <si>
    <t>ses_valoresmovramos e ses_seguros</t>
  </si>
  <si>
    <t>Prêmio ganho seguros (menos VGBL)</t>
  </si>
  <si>
    <t>Prêmio ganho VGBL</t>
  </si>
  <si>
    <t>cmpID 7023 + 7028 - 7029 + 7049 - 7035 - 7036 (até nov/13)+ 12008 + 12052 (a partir de dez/13)</t>
  </si>
  <si>
    <t>cmpID 7023 + 7028 - 7029 + 7049 (até nov/13)+ 12008 + 12052 (a partir de dez/13)</t>
  </si>
  <si>
    <t>cmpID 5130 (até nov/13) e cmpID 12013 (a partir de dez/13)</t>
  </si>
  <si>
    <t>cmpID 5131 (até nov/13) e cmpID 12014 (a partir de dez/13)</t>
  </si>
  <si>
    <t>cmpID 986 (até nov/13) e cmpID 12016 (a partir de dez/13)</t>
  </si>
  <si>
    <t>cmpID 987 (até nov/13) e cmpID 12020 (a partir de dez/13)</t>
  </si>
  <si>
    <t>cmpID 408 (até nov/13) e cmpID 12050 (a partir de dez/13)</t>
  </si>
  <si>
    <t>cmpID 990 (até nov/13) e cmpID 12049 (a partir de dez/13)</t>
  </si>
  <si>
    <t>cmpID 991 (até nov/13) e cmpID 12048 (a partir de dez/13)</t>
  </si>
  <si>
    <t>cmpID's 5983 + 5996 + 6009 + 6021 (até nov/13) e cmpID's 12185 + 12189 (a partir de dez/13)</t>
  </si>
  <si>
    <t>cmpID's 5984 + 5997 + 6010 + 6022 (até nov/13) e cmpID's 12186 + 12190 (a partir de dez/13)</t>
  </si>
  <si>
    <t>cmpID's 5986 + 5999 + 6012 + 6024</t>
  </si>
  <si>
    <t>cmpID's 5987 + 6000 + 6013 + 6025</t>
  </si>
  <si>
    <t>cmpID's 5985 + 5998 + 6011 + 6023</t>
  </si>
  <si>
    <t>Arrecadação do Mercado Segurador/Premio direto (conceito antigo)</t>
  </si>
  <si>
    <t>Arrecadação do Mercado Segurador/Premio ganho (conceito antigo)</t>
  </si>
  <si>
    <t>Prêmio de Seguros</t>
  </si>
  <si>
    <t>cmpID 995 - 5131 - 5130 + 7028 - 7029 +7024 + 7026 (até nov/13) e 12010 + 12052 (a partir de dez/13)</t>
  </si>
  <si>
    <t>Arrecadação do Mercado Segurador/Prêmio de Seguros</t>
  </si>
  <si>
    <t>Arrecadação Seguradoras, Capitalização e EAPC/Prêmio Direto</t>
  </si>
  <si>
    <t>Arrecadação Seguradoras, Capitalização e EAPC/Prêmio Direto (conceito antigo)</t>
  </si>
  <si>
    <t>Arrecadação Seguradoras, Capitalização e EAPC/Prêmio - Riscos Emitidos</t>
  </si>
  <si>
    <t>Arrecadação Seguradoras, Capitalização e EAPC/Prêmio Ganho (conceito antigo)</t>
  </si>
  <si>
    <t>Arrecadação Seguradoras, Capitalização e EAPC/Prêmio Ganho</t>
  </si>
  <si>
    <t>Arrecadação Seguradoras, Capitalização e EAPC/Prêmio de Seguros</t>
  </si>
  <si>
    <t>Arrecadação do Mercado Segurador/Premio - Riscos Emitidos</t>
  </si>
  <si>
    <t>conta: proporção feita na ses_uf2 (PREMIO_DIR) aplicado no ses_seguros (PREMIO_DIRETO) (até novembro/13)
proporção feita na ses_uf2 (PREMIO_DIR) aplicado no ses_valoresmovramos (cmpID's 12011 + 12023 + 12024 - 12029 + 12052) (a partir de dezembro/13)</t>
  </si>
  <si>
    <t>Provisão do Mercado Segurador</t>
  </si>
  <si>
    <t>Sinistro ocorrido/indenização/sorteio/resgate</t>
  </si>
  <si>
    <t>Ativo do Mercado Segurador</t>
  </si>
  <si>
    <t>PL do Mercado Segurador</t>
  </si>
  <si>
    <t>cmpID 995 (até nov/13) e cmpID 12012 + 12052 (a partir de dez/13)</t>
  </si>
  <si>
    <t>PIB indústria</t>
  </si>
  <si>
    <t>PIB indústria transformação</t>
  </si>
  <si>
    <t>IRPF</t>
  </si>
  <si>
    <t>SELIC</t>
  </si>
  <si>
    <t>IGPM índice</t>
  </si>
  <si>
    <t>IGPDI índice</t>
  </si>
  <si>
    <t>Produto interno bruto (PIB) - indústria</t>
  </si>
  <si>
    <t>Produto interno bruto (PIB) - indústria de transformação</t>
  </si>
  <si>
    <t>Imposto sobre a renda (IR) - pessoas físicas - total - receita bruta (em milhões R$)</t>
  </si>
  <si>
    <t>Taxa Selic</t>
  </si>
  <si>
    <t xml:space="preserve">Índice geral de preços do mercado (IGP-M) </t>
  </si>
  <si>
    <t xml:space="preserve">Índice geral de preços-disponibilidade interna (IGP-DI) </t>
  </si>
  <si>
    <t xml:space="preserve">Índice de Preços ao Consumidor (IPC-Fipe) - Transportes </t>
  </si>
  <si>
    <t xml:space="preserve">Índice de Preços ao Consumidor (IPC-Fipe) - In natura </t>
  </si>
  <si>
    <t>Índice de preços ao consumidor-Brasil (IPC-Br)</t>
  </si>
  <si>
    <t xml:space="preserve">Índice nacional de preços ao consumidor (INPC) </t>
  </si>
  <si>
    <t>Índice de custo de vida (ICV)</t>
  </si>
  <si>
    <t xml:space="preserve">Índice nacional de preços ao consumidor (INPC) - Saúde e cuidados pessoais </t>
  </si>
  <si>
    <t xml:space="preserve">Índice nacional de preços ao consumidor-Amplo (IPCA) - Preços monitorados - Plano de saúde </t>
  </si>
  <si>
    <t>Meios de pagamento amplos - Depósito de Poupança (saldo em final de período)</t>
  </si>
  <si>
    <t>Número de indenizações DPVAT</t>
  </si>
  <si>
    <t>Vendas de veículos pelas concessionárias - Automóveis</t>
  </si>
  <si>
    <t>Vendas de veículos pelas concessionárias - Comerciais leves</t>
  </si>
  <si>
    <t>Poupança nacional bruta</t>
  </si>
  <si>
    <t>Taxa de desemprego</t>
  </si>
  <si>
    <t>Produção automóveis</t>
  </si>
  <si>
    <t>Venda automóvel comercial leve</t>
  </si>
  <si>
    <t>Venda automóvel de passeio</t>
  </si>
  <si>
    <t>IPEADATA</t>
  </si>
  <si>
    <t>IPC Fipe índice</t>
  </si>
  <si>
    <t>IPC Fipe in natura índice</t>
  </si>
  <si>
    <t>IPCBr índice</t>
  </si>
  <si>
    <t>INPC índice</t>
  </si>
  <si>
    <t>ICV índice</t>
  </si>
  <si>
    <t>IPCA seguro saúde índice</t>
  </si>
  <si>
    <t>Vendas reais - varejo - móveis e eletrodomésticos - índice (média 2011 = 100)</t>
  </si>
  <si>
    <t>Índice nacional de custo da construção (INCC)</t>
  </si>
  <si>
    <t xml:space="preserve">Índice Nacional de Custo da Construção-Mercado (INCC-M) </t>
  </si>
  <si>
    <t>Sistema Nacional de Pesquisa de Custos e Índices da Construção Civil – SINAPI</t>
  </si>
  <si>
    <t>Financiamentos concedidos pelo SBPE</t>
  </si>
  <si>
    <t xml:space="preserve">Número de focos de queimada ativos detectados pelo satélite </t>
  </si>
  <si>
    <t>PIB trimestral (1995=100) - Dados observados - Agropecuária (total)</t>
  </si>
  <si>
    <t xml:space="preserve">Saldo das operações de crédito por atividade econômica - Setor rural </t>
  </si>
  <si>
    <t xml:space="preserve">Imposto sobre produtos industrializados (IPI) - automóveis - receita bruta - R$ (milhões)  </t>
  </si>
  <si>
    <t xml:space="preserve">Taxa de câmbio - R$ / US$ - comercial - venda - fim período - R$ </t>
  </si>
  <si>
    <t>Saldo da carteira de crédito com recursos livres - Pessoas físicas - Crédito pessoal consignado total - R$ (milhões)</t>
  </si>
  <si>
    <t>TABNET/DATASUS</t>
  </si>
  <si>
    <t>BCB (ver coluna H)</t>
  </si>
  <si>
    <t>INPE</t>
  </si>
  <si>
    <t>Indicadores Econômicos</t>
  </si>
  <si>
    <t>Dados Espaciais</t>
  </si>
  <si>
    <t>Cesta básica</t>
  </si>
  <si>
    <t>Exportações</t>
  </si>
  <si>
    <t>Vendas reais de móveis e eletrodomésticos</t>
  </si>
  <si>
    <t>Saldo de crédito pessoas físicas</t>
  </si>
  <si>
    <t>Valor de internação SUS</t>
  </si>
  <si>
    <t>Doentes cadastrados DATASUS</t>
  </si>
  <si>
    <t>Valor financiamentos concedidos SBPE</t>
  </si>
  <si>
    <t>Quantidade financiamentos concedidos SBPE</t>
  </si>
  <si>
    <t>Focos queimadas</t>
  </si>
  <si>
    <t>Saldo crédito rural</t>
  </si>
  <si>
    <t>IPI automóveis</t>
  </si>
  <si>
    <t>Câmbio dólar</t>
  </si>
  <si>
    <t>INCC índice</t>
  </si>
  <si>
    <t>INCC-M índice</t>
  </si>
  <si>
    <t>O valor anual deve ser igual ao valor da série no mês de dezembro do mesmo ano, bem como o valor trimestral deve ser igual ao valor de março para o 1º trimestre, junho para o 2º, setembro para o 3º e dezembro para o 4º. E assim por diante nos demais agrupamentos de tempo existentes no cubo.</t>
  </si>
  <si>
    <t>O agrupamento dos valores nos períodos de tempo deve ser feita através de soma</t>
  </si>
  <si>
    <t>SINAPI índice</t>
  </si>
  <si>
    <t>Internações hospitalares do SUS - por local de internação - Brasil</t>
  </si>
  <si>
    <t>PIB construção civil índice</t>
  </si>
  <si>
    <t>Produção industrial média índice</t>
  </si>
  <si>
    <t>Geral</t>
  </si>
  <si>
    <t>Passivo Circulante Saúde Suplementar</t>
  </si>
  <si>
    <t>Passivo Circulante Seguradoras, Capitalização, EAPC e Resseguradoras locais</t>
  </si>
  <si>
    <t xml:space="preserve">conta 21 do balanço </t>
  </si>
  <si>
    <t>Este indicador é de balanço patrimonial, ou seja, deve ser considerada a última posição disponível da base. O carregamento deste indicador deve ser feito da mesma forma que, por exemplo, "Provisão previdência tradicional"</t>
  </si>
  <si>
    <t>Passivo Circulante do Mercado Segurador</t>
  </si>
  <si>
    <t>Passivo não Circulante do Mercado Segurador</t>
  </si>
  <si>
    <t xml:space="preserve">conta 23 do balanço </t>
  </si>
  <si>
    <t>coluna: VALOR filtrando na coluna CMPID a conta 1040.</t>
  </si>
  <si>
    <t>coluna: VALOR filtrando na coluna CMPID as contas 6449 e 5908 (esta somente no ano de 2007).</t>
  </si>
  <si>
    <t>Ativo das Entidades Fechadas de Previdência Complementar</t>
  </si>
  <si>
    <t>Outros Mercados</t>
  </si>
  <si>
    <t>Informes estatísticos PREVIC</t>
  </si>
  <si>
    <t>Provisões Matemáticas das Entidades Fechadas de Previdência Complementar</t>
  </si>
  <si>
    <t>Contribuições das Entidades Fechadas de Previdência Complementar</t>
  </si>
  <si>
    <t>O valor anual é feito através da soma dos trimestres, e assim por diante nos demais agrupamentos de tempo existentes no cubo</t>
  </si>
  <si>
    <t>Rendimento nominal poupança - índice</t>
  </si>
  <si>
    <t>Poupança - rendimento nominal - 1º dia útil. (% a.m.) - ANDIMA12_TJPOUP12</t>
  </si>
  <si>
    <t>Deve ser carregado como índice e não como taxa, a fim de que só tenha um único indicador no cubo. Desta forma, o valor anual deve ser igual ao valor da série no mês de dezembro do mesmo ano, bem como o valor trimestral deve ser igual ao valor de março para o 1º trimestre, junho para o 2º, setembro para o 3º e dezembro para o 4º. E assim por diante nos demais agrupamentos de tempo existentes no cubo.</t>
  </si>
  <si>
    <t>Poupança nacional bruta (trimestral). IBGE - Sistema de Contas Nacionais Trimestrais Referência 2000 (IBGE/SCN 2000 Trim.) - SCN4_SBN4 R$ (milhões)</t>
  </si>
  <si>
    <t>O dado deve ser desacumulado para que seja carregado no cubo o valor trimestral. Consequentemente, o valor anual é feito através da soma dos trimestres, e assim por diante nos demais agrupamentos de tempo existentes no cubo.</t>
  </si>
  <si>
    <t>Produção - automóveis - montados - qde. 
Anuário Estatístico da Indústria Automobilística Brasileira ou Carta Mensal (Anfavea) - ANFAVE12_QPASSAM12</t>
  </si>
  <si>
    <t>O valor anual é feito através da soma dos meses, e assim por diante nos demais agrupamentos de tempo existentes no cubo</t>
  </si>
  <si>
    <t>Vendas nominais de móveis e eletrodomésticos - índice</t>
  </si>
  <si>
    <t>ABECIP</t>
  </si>
  <si>
    <t>Vendas materiais construção - índice</t>
  </si>
  <si>
    <t>Insumos construção civil - índice</t>
  </si>
  <si>
    <t>Produção industrial - insumos - construção civil - quantum - índice (média 2002 = 100) e Produção industrial - insumos típicos da construção civill - índice de quantum (média 2012 = 100)</t>
  </si>
  <si>
    <t>Soma de: (casos de) Diabete cadastrados + Hipert. cadastrados + Tuberculose cadastrados + Hanseníase cadastrados</t>
  </si>
  <si>
    <t>Passivo não Circulante Saúde Suplementar</t>
  </si>
  <si>
    <t>Passivo não Circulante Seguradoras, Capitalização, EAPC e Resseguradoras locais</t>
  </si>
  <si>
    <t>Despesas Administrativas das Entidades Fechadas de Previdência Complementar</t>
  </si>
  <si>
    <t>Arrecadação do Mercado Segurador/Premio emitido</t>
  </si>
  <si>
    <t>Já está inserida no cubo!</t>
  </si>
  <si>
    <t>Arrecadação Seguradoras, Capitalização e EAPC/Prêmio emitido</t>
  </si>
  <si>
    <t>Prêmio emitido seguros</t>
  </si>
  <si>
    <t>cmpID 7023 + 7028 - 7029 + 7049 (até nov/13)+ 12009 + 12052 (a partir de dez/13)</t>
  </si>
  <si>
    <t>Aplicações Financeiras do Mercado Segurador</t>
  </si>
  <si>
    <t>Aplicações Financeiras Saúde Suplementar</t>
  </si>
  <si>
    <t>conta 122 + 1311 + 1312 da base DIOPS</t>
  </si>
  <si>
    <t>Aplicações Financeiras Seguradoras, Capitalização, EAPC e Resseguradoras locais</t>
  </si>
  <si>
    <t>cmpIDs 1480 + 332</t>
  </si>
  <si>
    <t>Aplicações realizáveis a longo prazo do Mercado Segurador</t>
  </si>
  <si>
    <t>Aplicações realizáveis a longo prazo Saúde Suplementar</t>
  </si>
  <si>
    <t>Aplicações realizáveis a longo prazo Seguradoras, Capitalização, EAPC e Resseguradoras locais</t>
  </si>
  <si>
    <t>cmpID 332</t>
  </si>
  <si>
    <t>Ativo Circulante do Mercado Segurador</t>
  </si>
  <si>
    <t>Ativo Circulante Saúde Suplementar</t>
  </si>
  <si>
    <t>conta 12</t>
  </si>
  <si>
    <t>Ativo Circulante Seguradoras, Capitalização, EAPC e Resseguradoras locais</t>
  </si>
  <si>
    <t>cmpID 1479</t>
  </si>
  <si>
    <t>Imobilizado do Mercado Segurador</t>
  </si>
  <si>
    <t>Imobilizado Saúde Suplementar</t>
  </si>
  <si>
    <t>Imobilizado Seguradoras, Capitalização, EAPC e Resseguradoras locais</t>
  </si>
  <si>
    <t>cmpID 1503</t>
  </si>
  <si>
    <t>Despesas financeiras do Mercado Segurador</t>
  </si>
  <si>
    <t>Despesas financeiras Saúde Suplementar</t>
  </si>
  <si>
    <t>Despesas financeiras Seguradoras, Capitalização, EAPC e Resseguradoras locais</t>
  </si>
  <si>
    <t>Investimentos do Mercado Segurador</t>
  </si>
  <si>
    <t>Investimentos Saúde Suplementar</t>
  </si>
  <si>
    <t>Investimentos Seguradoras, Capitalização, EAPC e Resseguradoras locais</t>
  </si>
  <si>
    <t>Realizável a longo prazo do Mercado Segurador</t>
  </si>
  <si>
    <t>Realizável a longo prazo Saúde Suplementar</t>
  </si>
  <si>
    <t>Realizável a longo prazo Seguradoras, Capitalização, EAPC e Resseguradoras locais</t>
  </si>
  <si>
    <t>cmpID 331</t>
  </si>
  <si>
    <t>Receitas financeiras do Mercado Segurador</t>
  </si>
  <si>
    <t>Receitas financeiras Saúde Suplementar</t>
  </si>
  <si>
    <t>Receitas financeiras Seguradoras, Capitalização, EAPC e Resseguradoras locais</t>
  </si>
  <si>
    <t>cmpIDs 4072 + 6323 + 6598</t>
  </si>
  <si>
    <t>Estes indicadores requerem um pouco mais de cuidado, pois eles devem ser vistos com todas as aberturas apresentadas pela ANS (tipo de contratação, região geográfica, faixa etária, tipo de plano...).
A busca deve ser feita semelhante ao que é feito no cubo da Fenasaúde:: Em "Beneficiários de planos privados do Setor" selecionar o link "Informações detalhadas ANS Tabnet"; em consultas escolher a opção Beneficiários &gt; UF, região metropolitana e Capital; em linha selecionar "Competência", em coluna selecionar "não ativa" e em conteúdo selecionar as 3 opções: Assistência médica, Excl. Odontológico e Total, selecionar o período disponível e nas demais seleções disponíveis deixar selecionada "todas as categorias" em todas as aberturas.</t>
  </si>
  <si>
    <t>Fonte</t>
  </si>
  <si>
    <t>SUSEP e ANS</t>
  </si>
  <si>
    <t>BACEN</t>
  </si>
  <si>
    <t>SUSEP e RELATÓRIO FENAPREVI</t>
  </si>
  <si>
    <t>Código query no dataseg</t>
  </si>
  <si>
    <t>IPEA</t>
  </si>
  <si>
    <t>PREVIC</t>
  </si>
  <si>
    <t>Seguradora Líder</t>
  </si>
  <si>
    <t>Provisão PGBL</t>
  </si>
  <si>
    <t>ses_pgbl_fundos</t>
  </si>
  <si>
    <t>cmpid filtrada nas contas 11213 e 11226 -  Dados disponíveis a partir de junho de 2011.</t>
  </si>
  <si>
    <t>conta: proporção feita na ses_uf2 (PREMIO_DIR) aplicado no ses_valoresmovramos (cmpID's 995 - 5130 - 5131) (até novembro/13)
proporção feita na ses_uf2 (PREMIO_DIR) aplicado no ses_seguros (coluna premio_direto + coluna premio_emitido_cap) (a partir de dezembro/13)</t>
  </si>
  <si>
    <t>Lucro líquido do Mercado Segurador</t>
  </si>
  <si>
    <t>Lucro líquido Saúde Suplementar</t>
  </si>
  <si>
    <t>Lucro líquido Seguradoras, Capitalização, EAPC e Resseguradoras locais</t>
  </si>
  <si>
    <t>cmpid 518</t>
  </si>
  <si>
    <t>Intangível do Mercado Segurador</t>
  </si>
  <si>
    <t>Intangível Saúde Suplementar</t>
  </si>
  <si>
    <t>conta 1323 em 2009 e conta 134 a partir de 2010</t>
  </si>
  <si>
    <t>Dados a partir de 2009</t>
  </si>
  <si>
    <t>Intangível Seguradoras, Capitalização, EAPC e Resseguradoras Locais</t>
  </si>
  <si>
    <t xml:space="preserve">cmpid 5920 </t>
  </si>
  <si>
    <t>Ativo não circulante do Mercado Segurador</t>
  </si>
  <si>
    <t>Ativo não circulante Saúde Suplementar</t>
  </si>
  <si>
    <t>Indicador que representa o somatório dos indicadores:
Intangível Saúde Suplementar + Realizável a longo prazo Saúde Suplementar + Investimentos Saúde Suplementar + Imobilizado Saúde Suplementar</t>
  </si>
  <si>
    <t>Ativo não circulante Seguradoras, Capitalização, EAPC e Resseguradoras Locais</t>
  </si>
  <si>
    <t>Indicador que representa o somatório dos indicadores:
Intangível Seguradoras, Capitalização, EAPC e Resseguradoras Locais + Realizável a longo prazo Seguradoras, Capitalização, EAPC e Resseguradoras locais + Investimentos Seguradoras, Capitalização, EAPC e Resseguradoras locais + Imobilizado Seguradoras, Capitalização, EAPC e Resseguradoras locais</t>
  </si>
  <si>
    <t>Empresas ativas do Mercado Segurador</t>
  </si>
  <si>
    <t>Indicador que representa a união dos indicadores:
Empresas ativas Saúde Suplementar e Empresas ativas Seguradoras, Capitalização, EAPC e Resseguradoras locais.</t>
  </si>
  <si>
    <t>Empresas ativas Saúde Suplementar</t>
  </si>
  <si>
    <t>Este indicador é de posição. Ou seja, para cada cruzamento de data deve-se considerar a última posição disponível da base. A cada empresa supervisionada pela ANS deve ser atribuído o valor 0 ou 1.</t>
  </si>
  <si>
    <t>Base do próprio cognos</t>
  </si>
  <si>
    <t>Empresas ativas Seguradoras, Capitalização, EAPC e Resseguradoras locais</t>
  </si>
  <si>
    <t>Este indicador é de posição. Ou seja, para cada cruzamento de data deve-se considerar a última posição disponível da base. A cada empresa supervisionada pela SUSEP deve ser atribuído o valor 0 ou 1.</t>
  </si>
  <si>
    <t>Percentual Nacional do Mercado Segurador</t>
  </si>
  <si>
    <r>
      <t>Indicador que representa a união dos indicadores:
Percentual Nacional Saúde Suplementar</t>
    </r>
    <r>
      <rPr>
        <sz val="10"/>
        <color theme="1"/>
        <rFont val="Calibri"/>
        <family val="2"/>
        <scheme val="minor"/>
      </rPr>
      <t xml:space="preserve"> e</t>
    </r>
    <r>
      <rPr>
        <b/>
        <sz val="10"/>
        <color theme="1"/>
        <rFont val="Calibri"/>
        <family val="2"/>
        <scheme val="minor"/>
      </rPr>
      <t xml:space="preserve"> Percentual Nacional Seguradoras, Capitalização, EAPC e Resseguradoras locais</t>
    </r>
  </si>
  <si>
    <t>Percentual Nacional Saúde Suplementar</t>
  </si>
  <si>
    <t>Indicador percentual de posição. Ou seja, para cada cruzamento de data deve-se considerar a última posição disponível da base.</t>
  </si>
  <si>
    <t>Base enviada pelo NUESP</t>
  </si>
  <si>
    <t>Este indicador deve carregar o percentual de participações acionárias NACIONAIS que são informadas na aba "Nacional_Estrangeira". Uma empresa não classificada não terá valor preenchido para o indicador.</t>
  </si>
  <si>
    <t>Percentual Nacional Seguradoras, Capitalização, EAPC e Resseguradoras locais</t>
  </si>
  <si>
    <t>Ligadas a banco do Mercado Segurador</t>
  </si>
  <si>
    <r>
      <t>Indicador que representa a união dos indicadores:
Ligadas a banco Saúde Suplementar</t>
    </r>
    <r>
      <rPr>
        <sz val="10"/>
        <color theme="1"/>
        <rFont val="Calibri"/>
        <family val="2"/>
        <scheme val="minor"/>
      </rPr>
      <t xml:space="preserve"> e </t>
    </r>
    <r>
      <rPr>
        <b/>
        <sz val="10"/>
        <color theme="1"/>
        <rFont val="Calibri"/>
        <family val="2"/>
        <scheme val="minor"/>
      </rPr>
      <t>Ligadas a banco Seguradoras, Capitalização, EAPC e Resseguradoras locais</t>
    </r>
  </si>
  <si>
    <t>Ligadas a banco Saúde Suplementar</t>
  </si>
  <si>
    <t xml:space="preserve">Indicador que atribui a cada empresa supervisionada pela ANS os valores 1 ou -1. Este indicador é de posição. Ou seja, para cada cruzamento de data deve-se considerar a última posição disponível da base. </t>
  </si>
  <si>
    <t>Este indicador deve carregar o valore -1 quando a empresa não é ligada a banco e 1 quando a empresa é ligada a banco. A base de dados encontra-se na aba "ligadas_banco". As empresas que não foram contempladas na base devem receber o valor 0.</t>
  </si>
  <si>
    <t>Ligadas a banco Seguradoras, Capitalização, EAPC e Resseguradoras locais</t>
  </si>
  <si>
    <t xml:space="preserve">Indicador que atribui a cada empresa supervisionada pela SUSEP os valores 1 ou -1. Este indicador é de posição. Ou seja, para cada cruzamento de data deve-se considerar a última posição disponível da base. </t>
  </si>
  <si>
    <t>(Conta 3) menos (conta 4) menos (conta 61)</t>
  </si>
  <si>
    <t>NUESP</t>
  </si>
  <si>
    <t xml:space="preserve">http://www2.datasus.gov.br/DATASUS/index.php?area=02. No menu à esquerda selecionar: Informações de saúde (TABNET) &gt; Assistência à saúde &gt; Internações Hospitalares &gt; Produção Hospitalar (SIH/SUS) &gt; Por local de internação - de 1992 a 2007 &gt; Brasil por Região e Unidade da Federação &gt; Para linhas selecionar "Ano/mês processamento", pra colunas "Unidade da Federação" e conteúdo "Valor total". OBS: selecionar todos os períodos de interesse em"períodos disponíveis". Clicar no Botão "Mostra". Da tabela gerada, pegar os dados na coluna "total". (dados até 2007); e 
No menu à esquerda selecionar: Informações de saúde (TABNET) &gt; Assistência à saúde &gt; Internações Hospitalares &gt; Produção Hospitalar (SIH/SUS) &gt; Por local de internação - a partir de 2008 &gt; Brasil por Região e Unidade da Federação &gt; Para linhas selecionar "Ano/mês processamento", pra colunas "Unidade da Federação" e conteúdo "Valor total". OBS: selecionar todos os períodos de interesse em"períodos disponíveis". Clicar no Botão "Mostra". Da tabela gerada, pegar os dados na coluna "total". (dados a partir de 2008)
</t>
  </si>
  <si>
    <t>IPEADATA (www.ipeadata.gov.br)</t>
  </si>
  <si>
    <t>Taxa de desemprego pelo Setor de Serviços prestados à empresa, aluguéis, atividades imobiliárias e intermediação financeira</t>
  </si>
  <si>
    <t>Taxa de desemprego pelo Setor de Comércio, reparação de veículos automotores e de objetos pessoais e domésticos</t>
  </si>
  <si>
    <t>Taxa de desemprego pelo Setor de Administração publica, defesa, seguridade social, saúde e serviços sociais</t>
  </si>
  <si>
    <t>Taxa de desemprego pelo Setor de serviços domésticos</t>
  </si>
  <si>
    <t>Taxa de desemprego por Outros Serviços</t>
  </si>
  <si>
    <t>Taxa de desocupação na semana de referência, das pessoas de 10 anos ou mais de idade por setor</t>
  </si>
  <si>
    <t>Abrir a tabela 2276, da PME, no link informado na coluna ao lado.  Em "Variável (2)", selecionar a varíavel "taxa de desocupação, na semana de referência.." como cabeçalho, em "Grupamento de atitvidade do Trabalho principal(7)", selecionar a variável "Comércio, reparação de veículos...", em "Unidade territorial (7), não fazer alterações. É possível selecionar mais de um período de uma vez. Apertar OK.</t>
  </si>
  <si>
    <t>Abrir a tabela 2276, da PME, no link informado na coluna ao lado.  Em "Variável (2)", selecionar a varíavel "taxa de desocupação, na semana de referência.." como cabeçalho, em "Grupamento de atitvidade do Trabalho principal(7)", selecionar a variável "Serviços prestados à empresa...", em "Unidade territorial (7), não fazer alterações. É possível selecionar mais de um período de uma vez. Apertar OK.</t>
  </si>
  <si>
    <t>Abrir a tabela 2276, da PME, no link informado na coluna ao lado.  Em "Variável (2)", selecionar a varíavel "taxa de desocupação, na semana de referência.." como cabeçalho, em "Grupamento de atitvidade do Trabalho principal(7)", selecionar a variável "Administração pública, defesa...", em "Unidade territorial (7), não fazer alterações. É possível selecionar mais de um período de uma vez. Apertar OK.</t>
  </si>
  <si>
    <t>Abrir a tabela 2276, da PME, no link informado na coluna ao lado.  Em "Variável (2)", selecionar a varíavel "taxa de desocupação, na semana de referência.." como cabeçalho, em "Grupamento de atitvidade do Trabalho principal(7)", selecionar a variável "Serviços domésticos.", em "Unidade territorial (7), não fazer alterações. É possível selecionar mais de um período de uma vez. Apertar OK.</t>
  </si>
  <si>
    <t>Abrir a tabela 2276, da PME, no link informado na coluna ao lado.  Em "Variável (2)", selecionar a varíavel "taxa de desocupação, na semana de referência.." como cabeçalho, em "Grupamento de atitvidade do Trabalho principal(7)", selecionar a variável "Outros serviços.", em "Unidade territorial (7), não fazer alterações. É possível selecionar mais de um período de uma vez. Apertar OK.</t>
  </si>
  <si>
    <t>Crédito consignado (R$ milhões)</t>
  </si>
  <si>
    <t>Depósito de poupança (R$ milhares)</t>
  </si>
  <si>
    <t>Produção industrial - indústria geral - quantum - índice (média 2012 = 100)</t>
  </si>
  <si>
    <t>Índice de Confiança e Expectativas das Seguradoras</t>
  </si>
  <si>
    <t xml:space="preserve">Proposta feita pela Gabriela:
Índice calculado pela Fenacor. 
O Índice de Confiança e Expectativas das Seguradoras mede a expectativa do Mercado Segurador para a economia brasileira e para o próprio mercado de seguros (faturamento e rentabilidade) para os próximos 6 meses.
Ele pode ser encontrado através do endereço: http://www.ratingdeseguros.com.br/ICSS.htm e está em documentos em pdf.
Além disso, uma documentação do índice pode ser encontrada em http://www.fenacor.org.br/download/artigoteoricoICES.pdf. </t>
  </si>
  <si>
    <t>Despesa com Tributo Seguradoras, Capitalização, EAPC e Resseguradoras locais</t>
  </si>
  <si>
    <t>cmpID 5982 + 5983 - 5984 - 5988 + 5990 - 5991 + 5995 + 5996 - 5997 - 6001 + 6002 - 6003 + 6008 + 6009 - 6010 - 6014 + 6015 - 6016+ 6020 + 6021 - 6022 - 6026 + 6027 - 6028 + 6031 - 6032 + 6033 + 6042 + 6949 + 6950 + 11123 da tabela ses_valoresmovramos (até nov/13) e coluna sinistro_ocorrido + coluna sinistro_ocorrido_cap da tabela ses_seguros (a partir de dez/13)</t>
  </si>
  <si>
    <t>PIB - indústria - construção - índice encadeado (média 1995 = 100) - ref. 2010</t>
  </si>
  <si>
    <t>Importações</t>
  </si>
  <si>
    <t>Importação (US$ FOB) - US$ (milhões)</t>
  </si>
  <si>
    <t>Na barra de pesquisa, parte superior central da tela do site informado na coluna ao lado, selecionar a base de dados "Macroeconômico" e digitar as palavras-chave "importaçoes fob". Escolher a série com o nome "importaçoes -(FOB)" cuja unidade é US$ e periodicidade é mensal. Atentar para o fato de que o indicador está em milhões</t>
  </si>
  <si>
    <t xml:space="preserve"> a partir de 201201 (cmPID 11340)</t>
  </si>
  <si>
    <t>Prêmio bruto de  Resseguradora Local</t>
  </si>
  <si>
    <t>Indicador já existente, somente será feita uma alteração na forma de agrupamento temporal</t>
  </si>
  <si>
    <t>Nome do indicador no Dataseg</t>
  </si>
  <si>
    <t>Grupo do Indicador</t>
  </si>
  <si>
    <t>indicadores ocultos</t>
  </si>
  <si>
    <t>Indicador que representa o somatório dos indicadores: 
Contraprestações Líquidas e Arrecadação Seguradoras, Capitalização e EAPC/Prêmio Direto</t>
  </si>
  <si>
    <t>Indicador que representa o somatório dos indicadores: 
Contraprestações Líquidas e Arrecadação Seguradoras, Capitalização e EAPC/Prêmio Direto (conceito antigo)</t>
  </si>
  <si>
    <t>Indicador que representa o somatório dos indicadores: 
Contraprestações Líquidas e Arrecadação Seguradoras, Capitalização e EAPC/Prêmio - Ricos Emitidos</t>
  </si>
  <si>
    <t>Indicador que representa o somatório dos indicadores:
Contraprestações Líquidas e Arrecadação Seguradoras, Capitalização e EAPC/Prêmio Ganho (Conceito antigo)</t>
  </si>
  <si>
    <r>
      <t xml:space="preserve">Contas referentes aos anos de </t>
    </r>
    <r>
      <rPr>
        <b/>
        <sz val="11"/>
        <color rgb="FFFFFF00"/>
        <rFont val="Calibri"/>
        <family val="2"/>
        <scheme val="minor"/>
      </rPr>
      <t>2007 até 2011 (</t>
    </r>
    <r>
      <rPr>
        <sz val="11"/>
        <color rgb="FFFFFF00"/>
        <rFont val="Calibri"/>
        <family val="2"/>
        <scheme val="minor"/>
      </rPr>
      <t xml:space="preserve">3111, 3113, 3115, 3117 31191, 31192 e 31193); </t>
    </r>
    <r>
      <rPr>
        <b/>
        <sz val="11"/>
        <color rgb="FFFFFF00"/>
        <rFont val="Calibri"/>
        <family val="2"/>
        <scheme val="minor"/>
      </rPr>
      <t>2012 (</t>
    </r>
    <r>
      <rPr>
        <sz val="11"/>
        <color rgb="FFFFFF00"/>
        <rFont val="Calibri"/>
        <family val="2"/>
        <scheme val="minor"/>
      </rPr>
      <t>3111, 3117, 31192, 31193 e 31194</t>
    </r>
    <r>
      <rPr>
        <b/>
        <sz val="11"/>
        <color rgb="FFFFFF00"/>
        <rFont val="Calibri"/>
        <family val="2"/>
        <scheme val="minor"/>
      </rPr>
      <t>); 2013 (</t>
    </r>
    <r>
      <rPr>
        <sz val="11"/>
        <color rgb="FFFFFF00"/>
        <rFont val="Calibri"/>
        <family val="2"/>
        <scheme val="minor"/>
      </rPr>
      <t>31111, 31171 e 31191</t>
    </r>
    <r>
      <rPr>
        <b/>
        <sz val="11"/>
        <color rgb="FFFFFF00"/>
        <rFont val="Calibri"/>
        <family val="2"/>
        <scheme val="minor"/>
      </rPr>
      <t>) (até nov/13)</t>
    </r>
  </si>
  <si>
    <t>Indicador que representa o somatório dos indicadores:
Contraprestações Líquidas e Arrecadação Seguradoras, Capitalização e EAPC/Prêmio Ganho</t>
  </si>
  <si>
    <t>Indicador que representa o somatório dos indicadores:
Contraprestações Líquidas e Arrecadação Seguradoras, Capitalização e EAPC/Prêmio de Seguros</t>
  </si>
  <si>
    <t>Indicador que representa o somatório dos indicadores:
Sinistro retido + Resgates capitalização pagos + sorteios de Capitalização pagos + Benefícios Previdência pagos + Resgates Previdência pagos + Benefícios PGBL pagos + Resgates PGBL pagos + Eventos Indenizáveis + Resgates VGBL</t>
  </si>
  <si>
    <t>Indicador que representa a soma dos indicadores: Despesa de comercialização Seguros, Despesa de comercialização Previdência, Despesa de comercialização Previdência, Depesa de comercialização PGBL e Despesa de comercialização Capitalização</t>
  </si>
  <si>
    <t>coluna: VALOR filtrando em CMPID as contas 4066, 11256, 4056, 6260 e 11249.</t>
  </si>
  <si>
    <t>Indicador que representa o somatório dos indicadores:
Despesa administrativa sem tributos Saúde Suplementar + Despesa administrativa Seguradoras, Capitalização, EAPC e Resseguradoras Locais</t>
  </si>
  <si>
    <t xml:space="preserve">conta 46 menos conta 465 do balanço  
</t>
  </si>
  <si>
    <t>coluna: VALOR filtrando na coluna CMPID as contas: 4069 (a partir de 2003), 542 (jan/1999 a dez/2002) e 6569.</t>
  </si>
  <si>
    <t>Indicador que representa o somatório dos indicadores:
Ativo Saúde Suplementar e Ativo Seguradoras, Capitalização, EAPC e Resseguradoras Locais</t>
  </si>
  <si>
    <t>Indicador que representa o somatório dos indicadores:
Provisão Saúde Suplementar e Provisão Seguradoras, Capitalização, EAPC e Resseguradoras Locais</t>
  </si>
  <si>
    <t>2111 (até 2012),21111 (a partir de 2013), 2311 (até 2008 e 2012), 23111 (2009 a 2011 e a partir de 2013)</t>
  </si>
  <si>
    <t>2112 (até 2012),21112 (a partir de 2013), 2312 (até 2008 e 2012), 23112 (2009 a 2011 e a partir de 2013)</t>
  </si>
  <si>
    <t>Indicador que representa o somatório dos indicadores:
PL Saúde Suplementar e PL Seguradoras, Capitalização, EAPC e Resseguradoras Locais</t>
  </si>
  <si>
    <t>contas: 34 (2008 a 2012) + conta 35 (a partir de 2013) - conta 45</t>
  </si>
  <si>
    <t>coluna: VALOR filtrando na coluna CMPID as contas 4072, 4073 (de 2003 a 2007) e 6322 (de 2008 em diante)</t>
  </si>
  <si>
    <t>Indicador que representa o somatório dos indicadores:
IRPJ Seguradoras, Capitalização, EAPC e Resseguradoras Locais + Contribuição social dSeguradoras, Capitalização, EAPC e Resseguradoras Locais  + Despesa com tributo Seguradoras, Capitalização, EAPC e Resseguradoras Locais</t>
  </si>
  <si>
    <t>Indicador que representa o somatório dos indicadores:
IRPJ Saúde Suplementarr + Contribuição social Saude suplementar + Despesa com tributo Saude Suplementar</t>
  </si>
  <si>
    <t>Indicador que representa o somatório dos indicadores:
IRPJ Saúde Suplementar e IRPJ Seguradoras, Capitalização, EAPC e Resseguradoras locais.</t>
  </si>
  <si>
    <t>IRPJ  Seguradoras, Capitalização, EAPC e Resseguradoras locais</t>
  </si>
  <si>
    <t>Indicador que representa o somatório dos indicadores:
Despesa com Tributo Saúde Suplementar e Despesa com Tributo Seguradoras, Capitalização e EAPC e Resseguradoras Locais</t>
  </si>
  <si>
    <t xml:space="preserve">conta 465 do balanço 
</t>
  </si>
  <si>
    <t>coluna: VALOR filtrando na coluna CMPID as contas 4070 e 6570.</t>
  </si>
  <si>
    <t>Indicador que representa o somatório dos indicadores:
Número de Beneficiários/Médico-hospitalar e Número de Beneficiários/Odontológico</t>
  </si>
  <si>
    <t>Índices de Preços ao Consumidor Amplo (PCA)</t>
  </si>
  <si>
    <t>Renda real per capita</t>
  </si>
  <si>
    <t>PIB agropecuário indice</t>
  </si>
  <si>
    <t>Renda nominal per capita</t>
  </si>
  <si>
    <t>Indicador que representa o somatório dos indicadores: Passivo Circulante Saúde Suplementar e Passivo Circulante Seguradoras, Capitalização, EAPC e Resseguradoras locais</t>
  </si>
  <si>
    <t>Indicador que representa o somatório dos indicadores: Passivo não Circulante Saúde Suplementar e Passivo não Circulante Seguradoras, Capitalização, EAPC e Resseguradoras locais</t>
  </si>
  <si>
    <t>Indicador que representa o somatório dos indicadores:
Contraprestações líquidas e Arrecadação Seguradoras, Capitalização e EAPC/Prêmio emitido</t>
  </si>
  <si>
    <t>Indicador que representa o somatório dos indicadores: 
Contraprestação/Médico-Hospitalar, Contraprestação/Odontológico e Contraprestação não segregável</t>
  </si>
  <si>
    <t>Indicador que representa o somatório dos indicadores:
Prêmio emitido seguros, Faturamento Capitalização, Contribuição Previdência e Contribuição PGBL</t>
  </si>
  <si>
    <t>Indicador que representa o somatório dos indicadores: Aplicações Financeiras Saúde Suplementar e Aplicações Financeiras Seguradoras, Capitalização, EAPC e Resseguradoras locais</t>
  </si>
  <si>
    <t>Indicador que representa o somatório dos indicadores: Aplicações realizáveis a longo prazo Saúde Suplementar e Aplicações realizáveis a longo prazo Seguradoras, Capitalização, EAPC e Resseguradoras locais</t>
  </si>
  <si>
    <t>contas referentes aos anos de: 2007 e 2008 (132); 2009 a 2012 (1311); a partir de 2013 (1311 + 1312)</t>
  </si>
  <si>
    <t>Indicador que representa o somatório dos indicadores: Ativo Circulante Saúde Suplementar e Ativo Circulante Seguradoras, Capitalização, EAPC e Resseguradoras locais</t>
  </si>
  <si>
    <t>Indicador que representa o somatório dos indicadores: Imobilizado Saúde Suplementar e Imobilizado Seguradoras, Capitalização, EAPC e Resseguradoras locais</t>
  </si>
  <si>
    <t>contas referentes aos anos de: 2007 e 2008 (152); 2009 (1322); a partir de 2010 (133)</t>
  </si>
  <si>
    <t>Indicador que representa o somatório dos indicadores: Despesas financeiras Saúde Suplementar e Despesas financeiras Seguradoras, Capitalização, EAPC e Resseguradoras locais</t>
  </si>
  <si>
    <t>conta 45</t>
  </si>
  <si>
    <t>cmpIDs 4073 + 6324 + 6599</t>
  </si>
  <si>
    <t>Indicador que representa o somatório dos indicadores: Investimentos Saúde Suplementar e Investimentos Seguradoras, Capitalização, EAPC e Resseguradoras locais</t>
  </si>
  <si>
    <t>contas referentes aos anos de: 2007 e 2008 (151); 2009 (1321); a partir de 2010 (132)</t>
  </si>
  <si>
    <t>cmpID 323</t>
  </si>
  <si>
    <t>Indicador que representa o somatório dos indicadores: Realizável a longo prazo Saúde Suplementar e Realizável a longo prazo Seguradoras, Capitalização, EAPC e Resseguradoras locais</t>
  </si>
  <si>
    <t>contas referentes aos anos de: 2007 e 2008 (13); a partir de 2009 (131)</t>
  </si>
  <si>
    <t>Indicador que representa o somatório dos indicadores: Receitas financeiras Saúde Suplementar e Receitas financeiras  Seguradoras, Capitalização, EAPC e Resseguradoras locais</t>
  </si>
  <si>
    <t>contas referentes aos anos de: 2007 a 2012 (34); a partir de 2013 (35)</t>
  </si>
  <si>
    <t>Indicador que representa o somatório dos indicadores: 
Lucro líquido Saúde Suplementar e Lucro líquido empresas reguladas pela SUSEP</t>
  </si>
  <si>
    <t>As contas devem ser primeiro desacumuladas e, somente depois, deve ser efetuada a operação entre elas. Este indicador exige que seja analisado se alguma empresa não apresentou valor em algum trimestre, pois suas estatísticas devem ser contempladas.</t>
  </si>
  <si>
    <t>Este indicador deve ser desacumulado, de forma que o valor anual se torne a soma das parcelas em cada mês. Além disto, faz-se ncessário analisar se alguma empresa deixou de apresentar valor em algum mês, pois suas estatísticas devem ser contempladas.</t>
  </si>
  <si>
    <t>Indicador que representa o somatório dos indicadores: 
Intangível Saúde Suplementar e Intangível Seguradoras, Capitalização, EAPC e Resseguradoras Locais</t>
  </si>
  <si>
    <t>Indicador que representa o somatório dos indicadores: 
Intangível do Mercado Segurador, Realizável a longo prazo do Mercado Segurador, Investimentos do Mercado Segurador e Imobilizado do Mercado Segurador</t>
  </si>
  <si>
    <t>Cruzamento dos indicadores Contraprestações líquidas e Ativo Saúde Suplementar com a hierarquia tempo: trimestre.</t>
  </si>
  <si>
    <t>• Deve-se atribuir o valor "0" (zero) para as empresas que não apresentem valores de contraprestações líquidas nos últimos 2 trimestres e não apresentem ativo no mesmo período.
• Deve-se atribuir o valor "1" (um) para as demais empresas.</t>
  </si>
  <si>
    <t>Cruzamento dos indicadores Arrecadação Seguradoras, Capitalização, EAPC e Resseguradoras Locais/Prêmio Ganho e Ativo Seguradoras, Capitalização, EAPC e Resseguradoras Locais com a hierarquia tempo: mês.</t>
  </si>
  <si>
    <t>• Deve-se atribuir o valor "0" (zero) para as empresas que não apresentem valores de prêmio ganho nos últimos 2 meses e não apresentem ativo no mesmo período.
• Deve-se atribuir o valor "1" (um) para as demais empresas.</t>
  </si>
  <si>
    <t>IBGE (http://www.sidra.ibge.gov.br/)</t>
  </si>
  <si>
    <t>Indicadores econômicos</t>
  </si>
  <si>
    <t>Taxa de desocupação das pessoas de 14 anos ou mais de idade, na semana de referência - Brasil</t>
  </si>
  <si>
    <t>(http://www2.datasus.gov.br/DATASUS/index.php?area=02) No menu à esquerda selecionar: Informações de saúde (TABNET) &gt; Assistência à saúde &gt; Atenção Básica - Saúde da família &gt; Situação de saúde &gt; Brasil por Região, UF e Município &gt; Para linhas selecionar "Ano/mês processamento", pra colunas "Não ativo" e conteúdo "Diabetes Cadastr.", "Hiperten.Cadastr.", "Tubercul.Cadastr." e "Hansenia.Cadastr." (as quatro). Selecionar todos os períodos de interesse em"períodos disponíveis". Clicar no Botão "Mostra". Da tabela gerada, pegar os dados na coluna "total".</t>
  </si>
  <si>
    <r>
      <t xml:space="preserve">Contas referentes aos anos de </t>
    </r>
    <r>
      <rPr>
        <b/>
        <sz val="11"/>
        <color theme="1"/>
        <rFont val="Calibri"/>
        <family val="2"/>
        <scheme val="minor"/>
      </rPr>
      <t>2007 até 2011 (</t>
    </r>
    <r>
      <rPr>
        <sz val="11"/>
        <color theme="1"/>
        <rFont val="Calibri"/>
        <family val="2"/>
        <scheme val="minor"/>
      </rPr>
      <t xml:space="preserve">3112, 3114, 3116, 3118, 31195, 31196 e 31197); </t>
    </r>
    <r>
      <rPr>
        <b/>
        <sz val="11"/>
        <color theme="1"/>
        <rFont val="Calibri"/>
        <family val="2"/>
        <scheme val="minor"/>
      </rPr>
      <t>2012 (</t>
    </r>
    <r>
      <rPr>
        <sz val="11"/>
        <color theme="1"/>
        <rFont val="Calibri"/>
        <family val="2"/>
        <scheme val="minor"/>
      </rPr>
      <t>3112, 3118, 31196 e 31197</t>
    </r>
    <r>
      <rPr>
        <b/>
        <sz val="11"/>
        <color theme="1"/>
        <rFont val="Calibri"/>
        <family val="2"/>
        <scheme val="minor"/>
      </rPr>
      <t>); 2013 (</t>
    </r>
    <r>
      <rPr>
        <sz val="11"/>
        <color theme="1"/>
        <rFont val="Calibri"/>
        <family val="2"/>
        <scheme val="minor"/>
      </rPr>
      <t>31112, 31172 e 31192</t>
    </r>
    <r>
      <rPr>
        <b/>
        <sz val="11"/>
        <color theme="1"/>
        <rFont val="Calibri"/>
        <family val="2"/>
        <scheme val="minor"/>
      </rPr>
      <t>) (até nov/13)</t>
    </r>
  </si>
  <si>
    <t>Operações de crédito - saldo - pessoa física - R$ (milhões)</t>
  </si>
  <si>
    <t>Indicador que representa a soma dos indicadores: Despesa de comercialização Saúde Suplementar e Despesa de Comercialização Seguradoras, Capitalização e EAPC</t>
  </si>
  <si>
    <t>Faturamento capitalização bruto</t>
  </si>
  <si>
    <t>Produção de alimentos - índice</t>
  </si>
  <si>
    <t>APLICAÇÕES (Ativo Circulante)</t>
  </si>
  <si>
    <t>Títulos de Renda Fixa  (Ativo Circulante)</t>
  </si>
  <si>
    <t>Títulos de Renda Variável  (Ativo Circulante)</t>
  </si>
  <si>
    <t>Quotas de Fundos de Investimentos  (Ativo Circulante)</t>
  </si>
  <si>
    <t>Aplicações no Exterior  (Ativo Circulante)</t>
  </si>
  <si>
    <t>Outras Aplicações  (Ativo Circulante)</t>
  </si>
  <si>
    <t>(-) Redução ao valor recuperável  (Ativo Circulante)</t>
  </si>
  <si>
    <t>APLICAÇÕES (Ativo Não Circulante)</t>
  </si>
  <si>
    <t>Títulos de Renda Fixa (Ativo Não Circulante)</t>
  </si>
  <si>
    <t>Títulos de Renda Variável (Ativo Não Circulante)</t>
  </si>
  <si>
    <t>Quotas de Fundos de Investimentos (Ativo Não Circulante)</t>
  </si>
  <si>
    <t>Aplicações no Exterior (Ativo Não Circulante)</t>
  </si>
  <si>
    <t>Outras Aplicações (Ativo Não Circulante)</t>
  </si>
  <si>
    <t>(-) Redução ao valor recuperável (Ativo Não Circulante)</t>
  </si>
  <si>
    <t>Acumulado</t>
  </si>
  <si>
    <t>a partir 199901 (CMPID 1480)</t>
  </si>
  <si>
    <t>a partir 200801 (CMPID 6152)</t>
  </si>
  <si>
    <t>a partir 199901 (CMPID 1496)</t>
  </si>
  <si>
    <t>a partir 200501 (CMPID 5497)</t>
  </si>
  <si>
    <t>a partir 201106 (CMPID 11137)</t>
  </si>
  <si>
    <t>a partir 199901 (CMPID 358)</t>
  </si>
  <si>
    <t>a partir 201106 (CMPID 11138)</t>
  </si>
  <si>
    <t>a partir 199901 (CMPID 332)</t>
  </si>
  <si>
    <t>a partir 200801 (CMPID 6165)</t>
  </si>
  <si>
    <t>a partir 200007 (CMPID 1038)</t>
  </si>
  <si>
    <t>a partir 200501 (CMPID 5500)</t>
  </si>
  <si>
    <t>a partir 201106 (CMPID 11164)</t>
  </si>
  <si>
    <t>a partir 199901 (CMPID 345)</t>
  </si>
  <si>
    <t>a partir 201106 (CMPID 11165)</t>
  </si>
  <si>
    <t>PIB agropecuário</t>
  </si>
  <si>
    <t>Produto interno bruto (PIB) - agropecuária - referência 2010</t>
  </si>
  <si>
    <t>Na barra de pesquisa, parte superior central da tela do site informado na coluna ao lado, selecionar a base de dados "Macroeconômico" e digitar as palavras-chave "pib - agropecuária". Escolher a série com o nome "PIB - agropecuária - ref. 2010" cuja unidade é R$ e periodicidade é trimestral. Atentar para o fato de que o indicador está em milhões</t>
  </si>
  <si>
    <t>O valor anual é feito através da soma dos trimestres, e assim por diante nos demais agrupamentos de tempo existentes no cubo.</t>
  </si>
  <si>
    <t>Este indicador é a valor corrente.</t>
  </si>
  <si>
    <t>BCB: Série 4189 do Sistema de Séries Temporais</t>
  </si>
  <si>
    <t>Vendas nominais - varejo - móveis e eletrodomésticos índice (média 2014 = 100)</t>
  </si>
  <si>
    <t>Vendas nominais - varejo - materiais de construção - índice (média 2014 = 100)</t>
  </si>
  <si>
    <t>Pessoas de 14 anos ou mais de idade, ocupadas na semana de referência</t>
  </si>
  <si>
    <t>PNAD contínua</t>
  </si>
  <si>
    <t>Pessoas de 14 anos ou mais de idade, ocupadas na semana de referência como Empregado no setor privado com carteira de trabalho assinada (exclusive trabalhadores domésticos)</t>
  </si>
  <si>
    <t>Pessoas de 14 anos ou mais de idade, ocupadas na semana de referência como Trabalhador doméstico</t>
  </si>
  <si>
    <t>Pessoas de 14 anos ou mais de idade, ocupadas na semana de referência como Empregado no setor público (inclusive servidor estatutário e militar)</t>
  </si>
  <si>
    <t>Pessoas de 14 anos ou mais de idade, ocupadas na semana de referência como Empregador</t>
  </si>
  <si>
    <t>Pessoas de 14 anos ou mais de idade, ocupadas na semana de referência como Conta-própria</t>
  </si>
  <si>
    <t xml:space="preserve">Pessoas de 14 anos ou mais de idade, ocupadas na semana de referência como Trabalhador familiar auxiliar </t>
  </si>
  <si>
    <t>Pessoas de 14 anos ou mais de idade, ocupadas na semana de referência como trabalhador informal</t>
  </si>
  <si>
    <t>Pessoas de 14 anos ou mais de idade, ocupadas na semana de referência como trabalhador formal</t>
  </si>
  <si>
    <t>População Ocupada Trabalhador Formal (Mil pessoas)</t>
  </si>
  <si>
    <t>População Ocupada Trabalhador Informal (Mil pessoas)</t>
  </si>
  <si>
    <t>População Ocupada (Mil pessoas)</t>
  </si>
  <si>
    <t>População Ocupada Trabalhador familiar auxiliar (Mil pessoas)</t>
  </si>
  <si>
    <t>População Ocupada como Conta-Própria (Mil pessoas)</t>
  </si>
  <si>
    <t>População Ocupada como Empregador (Mil pessoas)</t>
  </si>
  <si>
    <t>População Ocupada no Setor Público (Mil pessoas)</t>
  </si>
  <si>
    <t>População Ocupada como Trabalhador Doméstico (Mil pessoas)</t>
  </si>
  <si>
    <t>População Ocupada sem Carteira (Mil pessoas)</t>
  </si>
  <si>
    <t>População Ocupada com Carteira (Mil pessoas)</t>
  </si>
  <si>
    <t xml:space="preserve">IBGE </t>
  </si>
  <si>
    <t>Metodologia de cálculo constante no arquivo: População_mensal_2060.xlsx. Modelo do layout necessário para carregamento: B:\ESTUDOS\Dados\IBGE\20181029_populacao_mensal_2060_layout_ETL_valor.xlsx</t>
  </si>
  <si>
    <t xml:space="preserve">PNAD contínua </t>
  </si>
  <si>
    <r>
      <t>Tabela</t>
    </r>
    <r>
      <rPr>
        <b/>
        <sz val="10"/>
        <color theme="1"/>
        <rFont val="Tahoma"/>
        <family val="2"/>
      </rPr>
      <t xml:space="preserve"> Ses_Balanco</t>
    </r>
  </si>
  <si>
    <t>É o capital total que a supervisionada deverá manter para operar, sendo equivalente ao maior valor entre o capital base e o capital de risco.</t>
  </si>
  <si>
    <t>SES_PL_Margem</t>
  </si>
  <si>
    <t>coluna: CMR</t>
  </si>
  <si>
    <t>CMR Seguradoras, Capitalização, EAPC e Resseguradoras locais</t>
  </si>
  <si>
    <t>1. Abrir link: https://www3.bcb.gov.br/sgspub/localizarseries/localizarSeries.do?method=prepararTelaLocalizarSeries; 2. Pesquisar pelo código 4380</t>
  </si>
  <si>
    <t>1. Abrir link: https://www3.bcb.gov.br/sgspub/localizarseries/localizarSeries.do?method=prepararTelaLocalizarSeries; 2. Pesquisar pelo código 433; 3. Cálculo a ser feito: Atribuir o valor de 100 para o primeiro período de dados do cubo do núcleo (jan/01). Aplicar o IPCA - var % mensal da seguinte forma, nos meses posteriores a janeiro/2001: Valor do mês anterior * (1 + (IPCA)/100)</t>
  </si>
  <si>
    <t>1. Abrir link: https://www3.bcb.gov.br/sgspub/localizarseries/localizarSeries.do?method=prepararTelaLocalizarSeries; 2. Pesquisar pelo código 189; 3. Cálculo a ser feito: Atribuir o valor de 100 para o primeiro período de dados do cubo do núcleo (jan/01). Aplicar o IGPM - var % mensal da seguinte forma, nos meses posteriores a janeiro/2001: Valor do mês anterior * (1 + (IGPM)/100)</t>
  </si>
  <si>
    <t>1. Abrir link: https://www3.bcb.gov.br/sgspub/localizarseries/localizarSeries.do?method=prepararTelaLocalizarSeries; 2. Pesquisar pelo código 190; 3. Cálculo a ser feito: Atribuir o valor de 100 para o primeiro período de dados do cubo do núcleo (jan/01). Aplicar o IGPDI - var % mensal da seguinte forma, nos meses posteriores a janeiro/2001: Valor do mês anterior * (1 + (IGPDI)/100)</t>
  </si>
  <si>
    <t>1. Abrir link: https://www3.bcb.gov.br/sgspub/localizarseries/localizarSeries.do?method=prepararTelaLocalizarSeries; 2. Pesquisar pelo código 7470; 3. Cálculo a ser feito: Atribuir o valor de 100 para o primeiro período de dados do cubo do núcleo (jan/01). Aplicar o IPC - var % mensal da seguinte forma, nos meses posteriores a janeiro/2001: Valor do mês anterior * (1 + (IPC)/100)</t>
  </si>
  <si>
    <t>1. Abrir link: https://www3.bcb.gov.br/sgspub/localizarseries/localizarSeries.do?method=prepararTelaLocalizarSeries; 2. Pesquisar pelo código 7468; 3. Cálculo a ser feito: Atribuir o valor de 100 para o primeiro período de dados do cubo do núcleo (jan/01). Aplicar o IPC  in natura - var % mensal da seguinte forma, nos meses posteriores a janeiro/2001: Valor do mês anterior * (1 + (IPC in natura)/100)</t>
  </si>
  <si>
    <t>1. Abrir link: https://www3.bcb.gov.br/sgspub/localizarseries/localizarSeries.do?method=prepararTelaLocalizarSeries; 2. Pesquisar pelo código 191; 3. Cálculo a ser feito: Atribuir o valor de 100 para o primeiro período de dados do cubo do núcleo (jan/01). Aplicar o IPCBr - var % mensal da seguinte forma, nos meses posteriores a janeiro/2001: Valor do mês anterior * (1 + (IPCBr)/100)</t>
  </si>
  <si>
    <t>1. Abrir link: https://www3.bcb.gov.br/sgspub/localizarseries/localizarSeries.do?method=prepararTelaLocalizarSeries; 2. Pesquisar pelo código 188; 3. Cálculo a ser feito: Atribuir o valor de 100 para o primeiro período de dados do cubo do núcleo (jan/01). Aplicar o INPC - var % mensal da seguinte forma, nos meses posteriores a janeiro/2001: Valor do mês anterior * (1 + (INPC)/100)</t>
  </si>
  <si>
    <t>1. Abrir link: https://www3.bcb.gov.br/sgspub/localizarseries/localizarSeries.do?method=prepararTelaLocalizarSeries; 2. Pesquisar pelo código 194; 3. Cálculo a ser feito: Atribuir o valor de 100 para o primeiro período de dados do cubo do núcleo (jan/01). Aplicar o ICV - var % mensal da seguinte forma, nos meses posteriores a janeiro/2001: Valor do mês anterior * (1 + (ICV)/100)</t>
  </si>
  <si>
    <t>1. Abrir link: https://www3.bcb.gov.br/sgspub/localizarseries/localizarSeries.do?method=prepararTelaLocalizarSeries; 2. Pesquisar pelo código 1650; 3. Cálculo a ser feito: Atribuir o valor de 100 para o primeiro período de dados do cubo do núcleo (jan/01). Aplicar o INPC saúde- var % mensal da seguinte forma, nos meses posteriores a janeiro/2001: Valor do mês anterior * (1 + (INPC saúde)/100)</t>
  </si>
  <si>
    <t xml:space="preserve">1. Abrir link: https://www3.bcb.gov.br/sgspub/localizarseries/localizarSeries.do?method=prepararTelaLocalizarSeries; 2. Pesquisar pelo código 7616 </t>
  </si>
  <si>
    <t>1. Abrir link: https://www3.bcb.gov.br/sgspub/localizarseries/localizarSeries.do?method=prepararTelaLocalizarSeries; 2. Pesquisar pelo código 192; 3. Cálculo a ser feito: Atribuir o valor de 100 para o primeiro período de dados do cubo do núcleo (jan/01). Aplicar o INCC - var % mensal da seguinte forma, nos meses posteriores a janeiro/2001: Valor do mês anterior * (1 + (INCC)/100)</t>
  </si>
  <si>
    <t>1. Abrir link: https://www3.bcb.gov.br/sgspub/localizarseries/localizarSeries.do?method=prepararTelaLocalizarSeries; 2. Pesquisar pelo código 7456; 3. Cálculo a ser feito: Atribuir o valor de 100 para o primeiro período de dados do cubo do núcleo (jan/01). Aplicar o INCC-M - var % mensal da seguinte forma, nos meses posteriores a janeiro/2001: Valor do mês anterior * (1 + (INCC-M)/100)</t>
  </si>
  <si>
    <t>1. Abrir link: https://www3.bcb.gov.br/sgspub/localizarseries/localizarSeries.do?method=prepararTelaLocalizarSeries; 2. Pesquisar pelo código 7384</t>
  </si>
  <si>
    <t>1. Abrir link: https://www3.bcb.gov.br/sgspub/localizarseries/localizarSeries.do?method=prepararTelaLocalizarSeries; 2. Pesquisar pelo código 7385</t>
  </si>
  <si>
    <t>1. Abrir link: https://www3.bcb.gov.br/sgspub/localizarseries/localizarSeries.do?method=prepararTelaLocalizarSeries; 2. Pesquisar pelo código 7495; 3. Cálculo a ser feito: Atribuir o valor de 100 para o primeiro período de dados do cubo do núcleo (jan/01). Aplicar o SINAPI - var % mensal da seguinte forma, nos meses posteriores a janeiro/2001: Valor do mês anterior * (1 + (SINAPI)/100)</t>
  </si>
  <si>
    <t>1. Abrir link: https://www3.bcb.gov.br/sgspub/localizarseries/localizarSeries.do?method=prepararTelaLocalizarSeries; 2. Pesquisar pelo código 4189</t>
  </si>
  <si>
    <t>1. Fazer download do documento em excel no link: https://www.abecip.org.br/credito-imobiliario/indicadores/financiamento; 2. Na aba "BD_Unidades", pegar os dados na coluna correspondente a "Valores em R$ Milhões" na subcoluna "Aquisição" (Coluna F).</t>
  </si>
  <si>
    <t>A fonte desta informação é a projeção da população realizada, geralmente a cada cinco anos. A população atualmente constante do cubo vem da planilha População_mensal_2030.xlsx enviada pelo Núcleo à ETL para carga. A fonte da informação original é:
FONTE:
http://www.ibge.gov.br/home/estatistica/populacao/projecao_da_populacao/2013/default.shtm.</t>
  </si>
  <si>
    <t>Entrar no link: http://www.inpe.br/queimadas/portal/estatistica_paises. Selecionar a opção "Brasil" na caixa "Selecionar país". Pegar os valores da tabela "Comparação do total de focos ativos detectados pelo satélite de referência em cada mês, no período de 1998 até dd/mm/aaaa". Atentar para o formato da tabela, em que os anos estão nas linhas e os meses nas colunas. Atentar também para a mudanças nos dados históricos (costumam haver revisões).</t>
  </si>
  <si>
    <t xml:space="preserve">Boletim Estatístico da Seguradora Líder/DPVAT </t>
  </si>
  <si>
    <t>1. Acessar link https://www.seguradoralider.com.br/Centro-de-Dados-e-Estatisticas/Boletim-Estatistico; 2. Abrir relatório com data do último trimestre disponível 3. Utilizar o valor "Total" da tabela "Indenizações pagas".</t>
  </si>
  <si>
    <t xml:space="preserve"> </t>
  </si>
  <si>
    <r>
      <rPr>
        <b/>
        <sz val="10"/>
        <color theme="1"/>
        <rFont val="Tahoma"/>
        <family val="2"/>
      </rPr>
      <t>CMPIDs 1555</t>
    </r>
    <r>
      <rPr>
        <sz val="10"/>
        <color theme="1"/>
        <rFont val="Tahoma"/>
        <family val="2"/>
      </rPr>
      <t xml:space="preserve"> (até dez.12) e </t>
    </r>
    <r>
      <rPr>
        <b/>
        <sz val="10"/>
        <color theme="1"/>
        <rFont val="Tahoma"/>
        <family val="2"/>
      </rPr>
      <t>3333</t>
    </r>
    <r>
      <rPr>
        <sz val="10"/>
        <color theme="1"/>
        <rFont val="Tahoma"/>
        <family val="2"/>
      </rPr>
      <t xml:space="preserve"> (a partir de jan.13) +  </t>
    </r>
    <r>
      <rPr>
        <b/>
        <sz val="10"/>
        <color theme="1"/>
        <rFont val="Tahoma"/>
        <family val="2"/>
      </rPr>
      <t>1562</t>
    </r>
    <r>
      <rPr>
        <sz val="10"/>
        <color theme="1"/>
        <rFont val="Tahoma"/>
        <family val="2"/>
      </rPr>
      <t xml:space="preserve"> (até dez.07) e 6151 (a partir de jan.08)</t>
    </r>
  </si>
  <si>
    <t>Tabelas</t>
  </si>
  <si>
    <t>Colunas</t>
  </si>
  <si>
    <t>Status</t>
  </si>
  <si>
    <t>SES_UF2.csv</t>
  </si>
  <si>
    <t>coenti</t>
  </si>
  <si>
    <t>Inativo</t>
  </si>
  <si>
    <t>damesano</t>
  </si>
  <si>
    <t>ramos</t>
  </si>
  <si>
    <t>UF</t>
  </si>
  <si>
    <t>premio_dir</t>
  </si>
  <si>
    <t>premio_ret</t>
  </si>
  <si>
    <t>sin_dir</t>
  </si>
  <si>
    <t>prem_ret_liq</t>
  </si>
  <si>
    <t>gracodigo</t>
  </si>
  <si>
    <t>salvados</t>
  </si>
  <si>
    <t>recuperacao</t>
  </si>
  <si>
    <t>SES_ValoresMovRamos.csv</t>
  </si>
  <si>
    <t>Ativo</t>
  </si>
  <si>
    <t>cmpid</t>
  </si>
  <si>
    <t>ramcodigo</t>
  </si>
  <si>
    <t>valor</t>
  </si>
  <si>
    <t>seq</t>
  </si>
  <si>
    <t>quadro</t>
  </si>
  <si>
    <t>LimiteRetProxVig.csv</t>
  </si>
  <si>
    <t>X08737</t>
  </si>
  <si>
    <t>AIG.SEGUROS.BRASIL.S.A.</t>
  </si>
  <si>
    <t>X0112</t>
  </si>
  <si>
    <t>X1000000</t>
  </si>
  <si>
    <t>X201902</t>
  </si>
  <si>
    <t>Ses_Administradores.csv</t>
  </si>
  <si>
    <t>entcodigofip</t>
  </si>
  <si>
    <t>pesrazaosocial</t>
  </si>
  <si>
    <t>dircargo</t>
  </si>
  <si>
    <t>SES_Balanco.csv</t>
  </si>
  <si>
    <t>Ses_campos.csv</t>
  </si>
  <si>
    <t>nuitem</t>
  </si>
  <si>
    <t>noitem</t>
  </si>
  <si>
    <t>nuquad</t>
  </si>
  <si>
    <t>mercado</t>
  </si>
  <si>
    <t>inivigencia</t>
  </si>
  <si>
    <t>fimvigencia</t>
  </si>
  <si>
    <t>ses_cap_uf.csv</t>
  </si>
  <si>
    <t>COENTI</t>
  </si>
  <si>
    <t>DAMESANO</t>
  </si>
  <si>
    <t>PREMIO</t>
  </si>
  <si>
    <t>RESGPAGO</t>
  </si>
  <si>
    <t>SORTPAGO</t>
  </si>
  <si>
    <t>NUMPARTIC</t>
  </si>
  <si>
    <t>RESGATANTES</t>
  </si>
  <si>
    <t>SORTEIOS</t>
  </si>
  <si>
    <t>Ses_Cessoes_Recebidas.csv</t>
  </si>
  <si>
    <t>tipo_cessao</t>
  </si>
  <si>
    <t>cessao</t>
  </si>
  <si>
    <t>comissao</t>
  </si>
  <si>
    <t>lucro</t>
  </si>
  <si>
    <t>corretagem</t>
  </si>
  <si>
    <t>outros</t>
  </si>
  <si>
    <t>Ses_cias.csv</t>
  </si>
  <si>
    <t>Coenti</t>
  </si>
  <si>
    <t>Noenti</t>
  </si>
  <si>
    <t>Cogrupo</t>
  </si>
  <si>
    <t>Nogrupo</t>
  </si>
  <si>
    <t>ses_contatos.csv</t>
  </si>
  <si>
    <t>Ses_Contrib_Benef.csv</t>
  </si>
  <si>
    <t>tipoProd</t>
  </si>
  <si>
    <t>contrib</t>
  </si>
  <si>
    <t>benef</t>
  </si>
  <si>
    <t>Ses_Dados_Cap.csv</t>
  </si>
  <si>
    <t>codModal</t>
  </si>
  <si>
    <t>modalidade</t>
  </si>
  <si>
    <t>receitasCap</t>
  </si>
  <si>
    <t>valorResg</t>
  </si>
  <si>
    <t>sorteiosPagos</t>
  </si>
  <si>
    <t>Ses_dependencias.csv</t>
  </si>
  <si>
    <t>id</t>
  </si>
  <si>
    <t>uf</t>
  </si>
  <si>
    <t>endereco</t>
  </si>
  <si>
    <t>cidade</t>
  </si>
  <si>
    <t>bairro</t>
  </si>
  <si>
    <t>cep</t>
  </si>
  <si>
    <t>tipo</t>
  </si>
  <si>
    <t>pais</t>
  </si>
  <si>
    <t>Ses_diversos.csv</t>
  </si>
  <si>
    <t>descricao</t>
  </si>
  <si>
    <t>Ses_grupos_economicos.csv</t>
  </si>
  <si>
    <t>noenti</t>
  </si>
  <si>
    <t>cogrupo</t>
  </si>
  <si>
    <t>nogrupo</t>
  </si>
  <si>
    <t>ses_gruposramos.csv</t>
  </si>
  <si>
    <t>GRAID</t>
  </si>
  <si>
    <t>GRANOME</t>
  </si>
  <si>
    <t>GRACODIGO</t>
  </si>
  <si>
    <t>Ses_limite_ret.csv</t>
  </si>
  <si>
    <t>coramo</t>
  </si>
  <si>
    <t>ses_pgbl_contrib.csv</t>
  </si>
  <si>
    <t>ses_pgbl_fundos.csv</t>
  </si>
  <si>
    <t>fundos</t>
  </si>
  <si>
    <t>ses_pgbl_resgates.csv</t>
  </si>
  <si>
    <t>resg_total</t>
  </si>
  <si>
    <t>resg_parcial</t>
  </si>
  <si>
    <t>ses_pgbl_uf.csv</t>
  </si>
  <si>
    <t>CONTRIB</t>
  </si>
  <si>
    <t>BENEFPAGO</t>
  </si>
  <si>
    <t>NUMBENEF</t>
  </si>
  <si>
    <t>NUMRESG</t>
  </si>
  <si>
    <t>Ses_pl_margem.csv</t>
  </si>
  <si>
    <t>plajustado</t>
  </si>
  <si>
    <t>margem</t>
  </si>
  <si>
    <t>pl</t>
  </si>
  <si>
    <t>AjustesContabeis</t>
  </si>
  <si>
    <t>AjustesEconomicos</t>
  </si>
  <si>
    <t>NovoPla</t>
  </si>
  <si>
    <t>CMR</t>
  </si>
  <si>
    <t>ses_prev_cap_uf.csv</t>
  </si>
  <si>
    <t>ses_prev_uf.csv</t>
  </si>
  <si>
    <t>Ses_prov.csv</t>
  </si>
  <si>
    <t>SES_prov_segprev.csv</t>
  </si>
  <si>
    <t>ses_provramos.csv</t>
  </si>
  <si>
    <t>ppng</t>
  </si>
  <si>
    <t>ppngretro</t>
  </si>
  <si>
    <t>ppngrvne</t>
  </si>
  <si>
    <t>pip</t>
  </si>
  <si>
    <t>psl</t>
  </si>
  <si>
    <t>ibnr</t>
  </si>
  <si>
    <t>ibner</t>
  </si>
  <si>
    <t>pda</t>
  </si>
  <si>
    <t>pcp</t>
  </si>
  <si>
    <t>outras</t>
  </si>
  <si>
    <t>provbenefconceder</t>
  </si>
  <si>
    <t>provbenefconcedido</t>
  </si>
  <si>
    <t>rec_sinliq</t>
  </si>
  <si>
    <t>rec_sinliqadm</t>
  </si>
  <si>
    <t>rec_sinliqjud</t>
  </si>
  <si>
    <t>rec_ibnr</t>
  </si>
  <si>
    <t>rec_ibner</t>
  </si>
  <si>
    <t>pdr</t>
  </si>
  <si>
    <t>pcc</t>
  </si>
  <si>
    <t>ses_quantcap.csv</t>
  </si>
  <si>
    <t>ESTOQUE_TITULOS</t>
  </si>
  <si>
    <t>CANCELADOS</t>
  </si>
  <si>
    <t>RESGATADOS</t>
  </si>
  <si>
    <t>ses_quantprev_benef.csv</t>
  </si>
  <si>
    <t>TIPO</t>
  </si>
  <si>
    <t>ESTOQUE</t>
  </si>
  <si>
    <t>INCLUSOES</t>
  </si>
  <si>
    <t>EXCLUSOES</t>
  </si>
  <si>
    <t>ses_quantprev_part.csv</t>
  </si>
  <si>
    <t>Ses_ramos.csv</t>
  </si>
  <si>
    <t>noramo</t>
  </si>
  <si>
    <t>Ses_rmovram.csv</t>
  </si>
  <si>
    <t>ENTCODIGO</t>
  </si>
  <si>
    <t>MRFMESANO</t>
  </si>
  <si>
    <t>RAMCODIGO</t>
  </si>
  <si>
    <t>MRASINRETSEGURO</t>
  </si>
  <si>
    <t>MRAprememitrvne</t>
  </si>
  <si>
    <t>MRASINRETTOTAL</t>
  </si>
  <si>
    <t>MRASINRETTOTALESTRANG</t>
  </si>
  <si>
    <t>MRASINRETVARIBNR</t>
  </si>
  <si>
    <t>MRASINRETSERVASSIST</t>
  </si>
  <si>
    <t>MRAVARDESPOUTRAS</t>
  </si>
  <si>
    <t>MRAVARDESPSEGURO</t>
  </si>
  <si>
    <t>MRAVARDESPTOTAL</t>
  </si>
  <si>
    <t>MRALIMITERETENC</t>
  </si>
  <si>
    <t>MRAPREMARECPROVR</t>
  </si>
  <si>
    <t>MRADIRCREDPROVR</t>
  </si>
  <si>
    <t>MRADEBSEGRECCOSCED</t>
  </si>
  <si>
    <t>MRAPREMARECTOTALESTRANG</t>
  </si>
  <si>
    <t>MRACUSTODIFCOMI</t>
  </si>
  <si>
    <t>MRACUSTODIFDESCONTO</t>
  </si>
  <si>
    <t>MRACUSTODIFOUTROS</t>
  </si>
  <si>
    <t>MRACUSTODIFTOTAL</t>
  </si>
  <si>
    <t>MRADESPCOSAC</t>
  </si>
  <si>
    <t>MRADESPCOSCED</t>
  </si>
  <si>
    <t>MRADESPOUTRAS</t>
  </si>
  <si>
    <t>MRADESPRESCED</t>
  </si>
  <si>
    <t>MRADESPRESCEDADMITIDO</t>
  </si>
  <si>
    <t>MRADESPRESCEDEVENTUAL</t>
  </si>
  <si>
    <t>MRADESPRESCEDLOCAL</t>
  </si>
  <si>
    <t>MRADESPRETRAC</t>
  </si>
  <si>
    <t>MRADESPSEGURO</t>
  </si>
  <si>
    <t>MRADESPTOTAL</t>
  </si>
  <si>
    <t>MRADIRCREDCOSAC</t>
  </si>
  <si>
    <t>MRADIRCREDCOSCED</t>
  </si>
  <si>
    <t>MRADIRCREDIOF</t>
  </si>
  <si>
    <t>MRADIRCREDRESCED</t>
  </si>
  <si>
    <t>MRADIRCREDRESCEDADMITIDO</t>
  </si>
  <si>
    <t>MRADIRCREDRESCEDEVENTUAL</t>
  </si>
  <si>
    <t>MRADIRCREDRESCEDLOCAL</t>
  </si>
  <si>
    <t>MRADIRCREDRETLIQ</t>
  </si>
  <si>
    <t>MRADIRCREDRETRAC</t>
  </si>
  <si>
    <t>MRADIRCREDSEGURO</t>
  </si>
  <si>
    <t>MRADIRCREDTOTAL</t>
  </si>
  <si>
    <t>MRADIRCREDTOTALESTRANG</t>
  </si>
  <si>
    <t>MRAIMPORTRESSEGURADA</t>
  </si>
  <si>
    <t>MRAIMPORTRESSEGURADAESTRANG</t>
  </si>
  <si>
    <t>MRAIMPORTSEGURADA</t>
  </si>
  <si>
    <t>MRAIMPORTSEGURADAESTRANG</t>
  </si>
  <si>
    <t>MRAPREMARECCOSAC</t>
  </si>
  <si>
    <t>MRAPREMARECCOSCED</t>
  </si>
  <si>
    <t>MRAPREMARECIOF</t>
  </si>
  <si>
    <t>MRAPREMARECRESCED</t>
  </si>
  <si>
    <t>MRADEBSEGRESCEDADMITIDO</t>
  </si>
  <si>
    <t>MRARESLIQPREM</t>
  </si>
  <si>
    <t>MRARESLIQPREMESTRANG</t>
  </si>
  <si>
    <t>MRARESLIQSIN</t>
  </si>
  <si>
    <t>MRARESLIQSINESTRANG</t>
  </si>
  <si>
    <t>MRARESULTLIQ</t>
  </si>
  <si>
    <t>MRARESULTLIQESTRANG</t>
  </si>
  <si>
    <t>MRASINALIQCOSAC</t>
  </si>
  <si>
    <t>MRASINALIQCOSCED</t>
  </si>
  <si>
    <t>MRASINALIQRESCED</t>
  </si>
  <si>
    <t>MRASINALIQRESCEDADMITIDO</t>
  </si>
  <si>
    <t>MRASINALIQRESCEDEVENTUAL</t>
  </si>
  <si>
    <t>MRASINALIQRESCEDLOCAL</t>
  </si>
  <si>
    <t>MRASINALIQRETLIQ</t>
  </si>
  <si>
    <t>MRASINALIQRETRAC</t>
  </si>
  <si>
    <t>MRASINALIQSEGURO</t>
  </si>
  <si>
    <t>MRASINALIQSEGVENCIDO</t>
  </si>
  <si>
    <t>MRASINALIQTOTAL</t>
  </si>
  <si>
    <t>MRASINALIQTOTALESTRANG</t>
  </si>
  <si>
    <t>MRASINRETCOSAC</t>
  </si>
  <si>
    <t>MRASINRETCOSCED</t>
  </si>
  <si>
    <t>MRASINRETRESCED</t>
  </si>
  <si>
    <t>MRASINRETRESCEDADMITIDO</t>
  </si>
  <si>
    <t>MRASINRETRESCEDEVENTUAL</t>
  </si>
  <si>
    <t>MRASINRETRESCEDLOCAL</t>
  </si>
  <si>
    <t>MRASINRETRETLIQ</t>
  </si>
  <si>
    <t>MRASINRETRETRAC</t>
  </si>
  <si>
    <t>MRASINRETSALVRESSARC</t>
  </si>
  <si>
    <t>MRAPREMEMITRESCEDADMITIDO</t>
  </si>
  <si>
    <t>MRADEBSEGRESCEDEVENTUAL</t>
  </si>
  <si>
    <t>MRADEBSEGRESCEDLOCAL</t>
  </si>
  <si>
    <t>MRAPREMARECRETLIQ</t>
  </si>
  <si>
    <t>MRAPREMARECRETRAC</t>
  </si>
  <si>
    <t>MRAPREMARECSEGURO</t>
  </si>
  <si>
    <t>MRAPREMARECTOTAL</t>
  </si>
  <si>
    <t>MRADEBSEGRECTOTALESTRANG</t>
  </si>
  <si>
    <t>MRAPREMCANCELSEG</t>
  </si>
  <si>
    <t>MRAPREMEMITCOSAC</t>
  </si>
  <si>
    <t>MRAPREMEMITCOSCED</t>
  </si>
  <si>
    <t>MRAPREMEMITDESCONTO</t>
  </si>
  <si>
    <t>MRAPREMEMITRESCED</t>
  </si>
  <si>
    <t>MRAPREMEMITRESCEDEVENTUAL</t>
  </si>
  <si>
    <t>MRAPREMEMITRESCEDLOCAL</t>
  </si>
  <si>
    <t>MRAPREMEMITRESTITUICAO</t>
  </si>
  <si>
    <t>MRAPREMEMITRETLIQ</t>
  </si>
  <si>
    <t>MRAPREMEMITRETRAC</t>
  </si>
  <si>
    <t>MRAPREMEMITSEGURO</t>
  </si>
  <si>
    <t>MRAPREMEMITSEGUROESTRANG</t>
  </si>
  <si>
    <t>MRAPREMEMITTOTAL</t>
  </si>
  <si>
    <t>MRAPREMEMITTOTALESTRANG</t>
  </si>
  <si>
    <t>MRAPREMNAOGANHO</t>
  </si>
  <si>
    <t>MRAPREMNAOGANHOESTRANG</t>
  </si>
  <si>
    <t>MRAPROVNAOCOMP</t>
  </si>
  <si>
    <t>MRAPROVNAOCOMPESTRANG</t>
  </si>
  <si>
    <t>MRAPROVSINIBNR</t>
  </si>
  <si>
    <t>MRARESLIQCOMI</t>
  </si>
  <si>
    <t>MRASINRETCONSORCIOSFUNDOS</t>
  </si>
  <si>
    <t>MRAPREMEMITCONSORCIOSFUNDOS</t>
  </si>
  <si>
    <t>MRAPPNGRISCOSNAOEMITIDOS</t>
  </si>
  <si>
    <t>MRAPREMCANCELCOSSACEI</t>
  </si>
  <si>
    <t>MRAPREMEMITRESTCOSSACEI</t>
  </si>
  <si>
    <t>MRAPREMEMITDESCCOSSACEI</t>
  </si>
  <si>
    <t>MRAPREMEMITDESCCOSSCED</t>
  </si>
  <si>
    <t>MRAPREMEMITDESCRESSCED</t>
  </si>
  <si>
    <t>MRAPREMCANCELPREMDIRETSEG</t>
  </si>
  <si>
    <t>MRAPREMEMITRESTITUICAOPREMDIR</t>
  </si>
  <si>
    <t>MRAPREMEMITDESCONTOPREMDIR</t>
  </si>
  <si>
    <t>MRASINRETRECUPCONSFUND</t>
  </si>
  <si>
    <t>MRADESPRESG</t>
  </si>
  <si>
    <t>MRADESPBENEF</t>
  </si>
  <si>
    <t>MRAPREMEMITRESTCOSSCED</t>
  </si>
  <si>
    <t>MRAPREMEMITRESTRESSLOCAL</t>
  </si>
  <si>
    <t>MRAPREMEMITRESTRESSEVENTUAL</t>
  </si>
  <si>
    <t>MRAPREMEMITRESTRESSADMITIDO</t>
  </si>
  <si>
    <t>MRAPREMEMITCANCCOSSCED</t>
  </si>
  <si>
    <t>MRAPREMEMITCANCRESSLOCAL</t>
  </si>
  <si>
    <t>MRAPREMEMITCANCRESSEVENTUAL</t>
  </si>
  <si>
    <t>MRAPREMEMITCANCRESSADMITIDO</t>
  </si>
  <si>
    <t>MRAPROVCOMPOUTROS1</t>
  </si>
  <si>
    <t>MRAPROVCOMPREMISSAO1</t>
  </si>
  <si>
    <t>MRAPROVCOMPRENDAEVENTOALEATORIO1</t>
  </si>
  <si>
    <t>MRAPROVCOMPPROVBENCONCEDIDO1</t>
  </si>
  <si>
    <t>MRAPROVPPNGRETROCESSAO</t>
  </si>
  <si>
    <t>MRAPROVSINLIQUIDAR</t>
  </si>
  <si>
    <t>MRAPROVSINOCORRNAVISADOS</t>
  </si>
  <si>
    <t>MRARESTCOSSACEITO</t>
  </si>
  <si>
    <t>MRARESTRESSEGLOCAL</t>
  </si>
  <si>
    <t>MRARESTRESSEGEVENTUAL</t>
  </si>
  <si>
    <t>MRARESTRESSEGADMITIDO</t>
  </si>
  <si>
    <t>MRACANCCOSSEGCEDIDO</t>
  </si>
  <si>
    <t>MRACANCRESSEGLOCAL</t>
  </si>
  <si>
    <t>MRACANCRESSEGEVENTUAL</t>
  </si>
  <si>
    <t>MRACANCRESSEGADMITIDO</t>
  </si>
  <si>
    <t>MRAPREMDIRPARCAVENC</t>
  </si>
  <si>
    <t>MRAPREMDIRPARCVENCI</t>
  </si>
  <si>
    <t>MRAPREMDIRTOTPREMRECEBER</t>
  </si>
  <si>
    <t>MRAPREMDIRADICFRAC</t>
  </si>
  <si>
    <t>MRAPREMDIRCUSTAPOL</t>
  </si>
  <si>
    <t>MRAPREMDIRIOF</t>
  </si>
  <si>
    <t>MRAPREMDIRCOSCED</t>
  </si>
  <si>
    <t>MRAPREMDIRRESSEGCED</t>
  </si>
  <si>
    <t>MRAPREMDIRRECRETRAC</t>
  </si>
  <si>
    <t>MRAPREMDIRCOSAC</t>
  </si>
  <si>
    <t>MRAPREMDIRRESPROPRIA</t>
  </si>
  <si>
    <t>MRAPREMDIRRETRAC</t>
  </si>
  <si>
    <t>MRAPREMDIRCOSAC1</t>
  </si>
  <si>
    <t>MRAPREMDIRRESPPROPRIA</t>
  </si>
  <si>
    <t>MRAPREMDIRPROVRISCO</t>
  </si>
  <si>
    <t>MRAPREMDIRRISCVIGNEMI</t>
  </si>
  <si>
    <t>MRAPREMDIRTOTDIRCRED</t>
  </si>
  <si>
    <t>MRAPROVCOMPOUTRASPROV</t>
  </si>
  <si>
    <t>MRAPREMTRANSFERIDOS</t>
  </si>
  <si>
    <t>MRAPREMTRANSACEITAS</t>
  </si>
  <si>
    <t>MRAPREMTRANSCEDIDAS</t>
  </si>
  <si>
    <t>MRAPREMEMITCONVDPVAT</t>
  </si>
  <si>
    <t>MRASINRETVARSINRET</t>
  </si>
  <si>
    <t>MRASINRETSALVRESSARCRETRAC</t>
  </si>
  <si>
    <t>mraPremiosContaRetDireta</t>
  </si>
  <si>
    <t>mraPremiosContaCossAceito</t>
  </si>
  <si>
    <t>mraPremiosContaCossCedido</t>
  </si>
  <si>
    <t>mraPremiosContaRessCedido</t>
  </si>
  <si>
    <t>mraPremiosContaRetLiquida</t>
  </si>
  <si>
    <t>mraPremiosContaVarProv</t>
  </si>
  <si>
    <t>mraPremiosContaRetrAceita</t>
  </si>
  <si>
    <t>mraPremiosCintaPremGanho</t>
  </si>
  <si>
    <t>mraSinRetVarprovibner</t>
  </si>
  <si>
    <t>Ses_seg_prov_det.csv</t>
  </si>
  <si>
    <t>prem_n_ganhos</t>
  </si>
  <si>
    <t>insuf_prem</t>
  </si>
  <si>
    <t>insuf_contrib</t>
  </si>
  <si>
    <t>benef_conceder</t>
  </si>
  <si>
    <t>outras_provisoes</t>
  </si>
  <si>
    <t>mat_benef_conceder</t>
  </si>
  <si>
    <t>osc_riscos</t>
  </si>
  <si>
    <t>riscos_n_expirados</t>
  </si>
  <si>
    <t>sinistros_liquidar</t>
  </si>
  <si>
    <t>benef_concedido</t>
  </si>
  <si>
    <t>sinistros_ibnr</t>
  </si>
  <si>
    <t>exced_financeiro</t>
  </si>
  <si>
    <t>mat_benef_concedidos</t>
  </si>
  <si>
    <t>benef_reg</t>
  </si>
  <si>
    <t>eventos_ibnr</t>
  </si>
  <si>
    <t>total_emp</t>
  </si>
  <si>
    <t>pet</t>
  </si>
  <si>
    <t>pvr</t>
  </si>
  <si>
    <t>opt</t>
  </si>
  <si>
    <t>Ses_seguros.csv</t>
  </si>
  <si>
    <t>premio_direto</t>
  </si>
  <si>
    <t>premio_de_seguros</t>
  </si>
  <si>
    <t>premio_retido</t>
  </si>
  <si>
    <t>premio_ganho</t>
  </si>
  <si>
    <t>sinistro_direto</t>
  </si>
  <si>
    <t>sinistro_retido</t>
  </si>
  <si>
    <t>desp_com</t>
  </si>
  <si>
    <t>premio_emitido2</t>
  </si>
  <si>
    <t>premio_emitido_cap</t>
  </si>
  <si>
    <t>despesa_resseguros</t>
  </si>
  <si>
    <t>sinistro_ocorrido</t>
  </si>
  <si>
    <t>receita_resseguro</t>
  </si>
  <si>
    <t>sinistros_ocorridos_cap</t>
  </si>
  <si>
    <t>recuperacao_sinistros_ocorridos_cap</t>
  </si>
  <si>
    <t>rvne</t>
  </si>
  <si>
    <t>conveniodpvat</t>
  </si>
  <si>
    <t>consorciosefundos</t>
  </si>
  <si>
    <t>ses_transferenciasexternas.csv</t>
  </si>
  <si>
    <t>TIPOTRANSF</t>
  </si>
  <si>
    <t>TIPOPLANO</t>
  </si>
  <si>
    <t>VALOR</t>
  </si>
  <si>
    <t>QUANTIDADE</t>
  </si>
  <si>
    <t>ses_valoresresmovgrupos.csv</t>
  </si>
  <si>
    <t>CMPID</t>
  </si>
  <si>
    <t>ID</t>
  </si>
  <si>
    <t>Ses_vgbl_fundos.csv</t>
  </si>
  <si>
    <t>Ses_vgbl_resgates.csv</t>
  </si>
  <si>
    <t>Indicadores</t>
  </si>
  <si>
    <t>*O indicador já encontra-se desacumulado.</t>
  </si>
  <si>
    <t xml:space="preserve"> O valor anual deve ser igual ao valor da série no mês de dezembro do mesmo ano, bem como o valor trimestral deve ser igual ao valor de março para o 1º trimestre, junho para o 2º, setembro para o 3º e dezembro para o 4º. E assim por diante nos demais agrupamentos de tempo existentes no cubo.</t>
  </si>
  <si>
    <t xml:space="preserve">1. Abrir link: https://www3.bcb.gov.br/sgspub/localizarseries/localizarSeries.do?method=prepararTelaLocalizarSeries; 2. Pesquisar pelo código 20579; </t>
  </si>
  <si>
    <t>1. Abrir link: https://www3.bcb.gov.br/sgspub/localizarseries/localizarSeries.do?method=prepararTelaLocalizarSeries; 2. Pesquisar pelo código 1835;</t>
  </si>
  <si>
    <t>Parou de alocar valores em Março de 2020</t>
  </si>
  <si>
    <t>Parou de alocar valores em Outubro de 2019</t>
  </si>
  <si>
    <t>Parou de alocar valores em Setembro de 2019</t>
  </si>
  <si>
    <t xml:space="preserve"> https://www.gov.br/ans/pt-br/acesso-a-informacao/perfil-do-setor/dados-e-indicadores-do-setor</t>
  </si>
  <si>
    <t>1. Abrir o link http://www.sidra.ibge.gov.br/;
2.Acessar a aba "CNT";
3.Clicar na opção "Relação de tabelas da pesquisa";
4.Procurar a tabela "Série encadeada do índice de volume trimestral (Base: média 1995 = 100)" (código:1620);
5.Selecionar a variável "Contrução";
6.Selecionar todos os trimestres na opção "Trimestre";
7.Selecione "Brasil" na opção "Unidade Territorial";
8.Faça o download do arquivo;
(API:/t/1620/n1/all/v/all/p/all/c11255/90694/d/v583%202)</t>
  </si>
  <si>
    <t>1. Abrir o link http://www.sidra.ibge.gov.br/;
2.Acessar a aba "CNT";
3.Clicar na opção "Relação de tabelas da pesquisa";
4.Procurar a tabela "Valores a preços correntes" (código:1846);
5.Selecionar a variável "Valores a preços correntes";
6.Selecionar "Indústria - total" em Setores e subsetores;
7.Selecionar todos os trimestres na opção "Trimestre";
8.Selecione "Brasil" na opção "Unidade Territorial";
9.Faça o download do arquivo;
(API:/t/1846/n1/all/v/all/p/all/c11255/90691/d/v585%200)</t>
  </si>
  <si>
    <t>ESPECIFICAÇÃO DE jan-fev-mar 2012 ATÉ set-out-nov 2015:
Carregar os valores contidos no arquivo “B:\ESTUDOS\DataSeg\20181130_nova_especificacao_pnadc_valores.xlsx”
ESPECIFICAÇÃO DE out-nov-dez 2015 EM DIANTE: 
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as opções "Empregado no setor privado, exclusive trabalhador doméstico - com carteira de trabalho assinada", "Trabalhador doméstico - com carteira de trabalho assinada", "Empregado no setor público, exclusive militar e funcionário público estatutário - com carteira de trabalho assinada", "Empregado no setor público - militar e funcionário público estatutário", "Empregador com CNPJ" e  "Conta própria com CNPJ" em "Posição na ocupação e categoria do emprego no trabalho principal"
8. Selecione todos trimestres móveis na opção "Trimestre Móvel"; 
9. Selecione "Brasil" na opção "Unidade Territorial";
10. Faça o download do arquivo. O indicador será resultado da soma das variáveis selecionadas no passo 7.
(API: /t/6320/n1/all/v/4090/p/all/c11913/31722,31725,31728,31730,45934,45936)</t>
  </si>
  <si>
    <t xml:space="preserve">ESPECIFICAÇÃO DE jan-fev-mar 2012 ATÉ set-out-nov 2015:
Carregar os valores contidos no arquivo “B:\ESTUDOS\DataSeg\20181130_nova_especificacao_pnadc_valores.xlsx”
ESPECIFICAÇÃO DE out-nov-dez 2015 EM DIANTE:  
1. Abrir o link http://www.sidra.ibge.gov.br/; 
2. Acessar a aba “PNADC/M”; 
3. Procurar o quadro “População - Indicadores selecionados”; 
4. Clicar na opção “Listar tabelas”;
5. Clicar na  opção (6320)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as opções “Empregado no setor privado, exclusive trabalhador doméstico - sem carteira de trabalho assinada”, “Trabalhador doméstico - sem carteira de trabalho assinada”, “Empregado no setor público, exclusive militar e funcionário público estatutário - sem carteira de trabalho assinada”, “Empregador sem CNPJ”, ”Conta própria sem CNPJ” e “Trabalhador familiar auxiliar” em “Posição na ocupação e categoria do emprego no trabalho principal” 
8. Selecione todos trimestres móveis na opção “Trimestre Móvel”; 
9. Selecione “Brasil” na opção “Unidade Territorial”; 
10. Faça o download do arquivo. O indicador será resultado da soma das variáveis selecionadas no passo 7.
(API: /t/6320/n1/all/v/4090/p/all/c11913/31723,31726,31729,31731,45935,45937)
</t>
  </si>
  <si>
    <t>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“Trabalhador familiar auxiliar” em “Posição na ocupação e categoria do emprego no trabalho principal”  
8. Selecione todos trimestres móveis na opção “Trimestre Móvel”; 
9. Selecione “Brasil” na opção “Unidade Territorial”; 
10. Faça o download do arquivo.
(API: /t/6320/n1/all/v/4090/p/all/c11913/31731)</t>
  </si>
  <si>
    <t>VARIAVEL DESCONTINUADA</t>
  </si>
  <si>
    <t>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“Total” em “Posição na ocupação e categoria do emprego no trabalho principal”  
8. Selecione todos trimestres móveis na opção “Trimestre Móvel”; 
9. Selecione “Brasil” na opção “Unidade Territorial”; 10. Faça o download do arquivo.
(API: /t/6320/n1/all/v/4090/p/all/c11913/96165)</t>
  </si>
  <si>
    <t>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“Empregado no setor privado, exclusive trabalhador doméstico - com carteira de trabalho assinada” em “Posição na ocupação e categoria do emprego no trabalho principal”  
8. Selecione todos trimestres móveis na opção “Trimestre Móvel”; 
9. Selecione “Brasil” na opção “Unidade Territorial”; 
10. Faça o download do arquivo.
(API: /t/6320/n1/all/v/4090/p/all/c11913/31722)</t>
  </si>
  <si>
    <t>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“Empregado no setor privado, exclusive trabalhador doméstico - sem carteira de trabalho assinada” em “Posição na ocupação e categoria do emprego no trabalho principal”  
8. Selecione todos trimestres móveis na opção “Trimestre Móvel”;
 9. Selecione “Brasil” na opção “Unidade Territorial”; 
10. Faça o download do arquivo.
(API: /t/6320/n1/all/v/4090/p/all/c11913/31723)</t>
  </si>
  <si>
    <t>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“Trabalhador doméstico” em “Posição na ocupação e categoria do emprego no trabalho principal” 
 8. Selecione todos trimestres móveis na opção “Trimestre Móvel”; 
9. Selecione “Brasil” na opção “Unidade Territorial”; 
10. Faça o download do arquivo.
(API: /t/6320/n1/all/v/4090/p/all/c11913/31724)</t>
  </si>
  <si>
    <t xml:space="preserve">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“Empregado no setor público” em “Posição na ocupação e categoria do emprego no trabalho principal”  
8. Selecione todos trimestres móveis na opção “Trimestre Móvel”; 
9. Selecione “Brasil” na opção “Unidade Territorial”; 
10. Faça o download do arquivo.
(API: /t/6320/n1/all/v/4090/p/all/c11913/31727)
</t>
  </si>
  <si>
    <t>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“Empregador” em “Posição na ocupação e categoria do emprego no trabalho principal” 
 8. Selecione todos trimestres móveis na opção “Trimestre Móvel”; 
9. Selecione “Brasil” na opção “Unidade Territorial”; 
10. Faça o download do arquivo.
(API: /t/6320/n1/all/v/4090/p/all/c11913/96170)</t>
  </si>
  <si>
    <t>1. Abrir o link http://www.sidra.ibge.gov.br/; 
2. Acessar a aba “PNADC/M”; 
3. Procurar o quadro “População - Indicadores selecionados”; 
4. Clicar na opção “Listar tabelas”; 
5. Clicar na  opção “Pessoas de 14 anos ou mais de idade, ocupadas na semana de referência - Total, coeficiente de variação, variações percentuais e absolutas em relação aos três trimestres móveis anteriores e ao mesmo trimestre móvel do ano anterior, e média anual - por posição na ocupação e categoria do emprego no trabalho principal”; 
6. Selecione a opção “Pessoas de 14 anos ou mais de idade, ocupadas na semana de referência (Mil pessoas)” em “Variável”; 
7. Selecione a opção “Conta própria” em “Posição na ocupação e categoria do emprego no trabalho principal”  
8. Selecione todos trimestres móveis na opção “Trimestre Móvel”; 
9. Selecione “Brasil” na opção “Unidade Territorial”; 
10. Faça o download do arquivo.
(API: /t/6320/n1/all/v/4090/p/all/c11913/96171)</t>
  </si>
  <si>
    <t xml:space="preserve">1. Abrir o link http://www.sidra.ibge.gov.br/; 
2. Acessar a aba “PNADC/M”; 
3. Procurar o quadro “Taxas e Níveis - Indicadores selecionados”; 
4. Clicar na opção “Listar tabelas”; 
5. Clicar na opção “Taxa de desocupação, na semana de referência, das pessoas de 14 anos ou mais de idade - Total, coeficiente de variação, variações em relação aos três trimestres móveis anteriores e ao mesmo trimestre móvel do ano anterior, e média anual”; 
6. Selecione a opção “Taxa de desocupação, na semana de referência, das pessoas de 14 anos ou mais de idade (%)” em “Variável”;  
7. Selecione todos trimestres móveis na opção “Trimestre Móvel”; 
8. Selecione “Brasil” na opção “Unidade Territorial”; 
9. Faça o download do arquivo.
(API: /t/6381/n1/all/v/4099/p/all/d/v4099%201)
</t>
  </si>
  <si>
    <t>(Antigo IPEA)  Banco Central do Brasil</t>
  </si>
  <si>
    <t>(Antigo IPEA) SIDRA</t>
  </si>
  <si>
    <t>1. Abrir link: https://www3.bcb.gov.br/sgspub/localizarseries/localizarSeries.do?method=prepararTelaLocalizarSeries; 
2. Pesquisar pelo código 7828
Antiga Especificação
1. Acessar o link www.ipeadata.gov.br; 
2. Na barra de pesquisa, parte superior central da tela do site informado na coluna ao lado, selecionar a base de dados "Macroeconômico" e digitar as palavras-chave "poupança rendimento nominal". Escolher a série com o nome "Poupança - rendimento nominal - 1º dia útil" cuja unidade é %a.m. e periodicidade é mensal. 
3. Cálculo a ser feito: Atribuir o valor de 100 para o primeiro período de dados do cubo do núcleo (jan/01). Aplicar a variação da poupança mensal da seguinte forma, nos meses posteriores a janeiro/2001: Valor do mês anterior * (1 + (Poup)/100)</t>
  </si>
  <si>
    <t>1. Abrir link: https://www3.bcb.gov.br/sgspub/localizarseries/localizarSeries.do?method=prepararTelaLocalizarSeries; 
2. Pesquisar pelo código 1374
Antiga Especificação
1. Acessar o link www.ipeadata.gov.br; 
2. Na barra de pesquisa, parte superior central da tela do site informado na coluna ao lado, selecionar a base de dados "Macroeconômico" e digitar as palavras-chave "produção automóveis montados". 
3. Escolher a série com o nome "Produção - automóveis - montados - qde." cuja unidade é Unidades e periodicidade é mensal.</t>
  </si>
  <si>
    <t>1. Abrir link: https://www3.bcb.gov.br/sgspub/localizarseries/localizarSeries.do?method=prepararTelaLocalizarSeries; 
2. Pesquisar pelo código 20541
Antiga Especificação
1. Acessar o link www.ipeadata.gov.br; 
2. Na barra de pesquisa, parte superior central da tela do site informado na coluna ao lado, selecionar a base de dados "Macroeconômico" e digitar as palavras-chave "saldo crédito". 
3. Escolher a série com o nome "Operações de crédito - recursos livres - saldo - pessoa física" cuja unidade é R$  e periodicidade é mensal.Atentar para o fato de que o indicador está em milhões</t>
  </si>
  <si>
    <t>1. Abrir link: https://www3.bcb.gov.br/sgspub/localizarseries/localizarSeries.do?method=prepararTelaLocalizarSeries; 
2. Pesquisar pelo código 7628
Antiga Especificação:
1. Acessar o link www.ipeadata.gov.br; 
2. Na barra de pesquisa, parte superior central da tela do site informado na coluna ao lado, selecionar a base de dados "Macroeconômico" e digitar as palavras-chave "IPI". 
3. Escolher a série com o nome "Imposto sobre produtos industrializados (IPI) - automóveis - receita bruta" cuja periodicidade é mensal. Atentar para o fato de que o indicador está em milhões</t>
  </si>
  <si>
    <t>1. Abrir link: https://www3.bcb.gov.br/sgspub/localizarseries/localizarSeries.do?method=prepararTelaLocalizarSeries; 
2. Pesquisar pelo código 3696
Antiga Especificação
1. Acessar o link www.ipeadata.gov.br; 
2. Na barra de pesquisa, parte superior central da tela do site informado na coluna ao lado, selecionar a base de dados "Macroeconômico" e digitar as palavras-chave "taxa de câmbio comercial". 
3. Escolher a série com o nome "Taxa de câmbio - R$ / US$ - comercial - venda - fim período" cuja periodicidade é mensal.</t>
  </si>
  <si>
    <t>A série de Exportações parou de alocar valores em Setembro de 2019. Por isso, foi substituído pela série "Balança comercial e Serviços - mensal - receita" divulgado pelo Banco Central. Talvez seja preciso ajustar o nome do Indicador no COGNOS.</t>
  </si>
  <si>
    <t>COMEX</t>
  </si>
  <si>
    <t xml:space="preserve">Especificação atual:
1. Abrir o link: http://comexstat.mdic.gov.br/pt/geral;
2. Selecionar "Esportação" no campo "Tipo de operação"; 
3. Em "Período" selecione desde 2000 até o ano atual e selecionar a opção "Detalhar por mês";
4. Em "Valores" selecionar a opção "Valor FOB (US$)" e em seguida em "Consultar".
5. Na tela seguinte, selecione "Vertical" no campo "Tipo de exibição" e baixar o .csv
Antiga Especificação BCB:
1. Abrir link: https://www3.bcb.gov.br/sgspub/localizarseries/localizarSeries.do?method=prepararTelaLocalizarSeries; 
2. Pesquisar pelo código 22705 - Balança comercial e Serviços - mensal - receita
Antiga Especificação IPEA:
1. Acessar o link www.ipeadata.gov.br; 
2. Na barra de pesquisa, parte superior central da tela do site informado na coluna ao lado, selecionar a base de dados "Macroeconômico" e digitar as palavras-chave "exportaçoes fob". 
3. Escolher a série com o nome "exportaçoes -(FOB)" cuja unidade é US$ e periodicidade é mensal. Atentar para o fato de que o indicador está em milhões
</t>
  </si>
  <si>
    <t xml:space="preserve">https://www.gov.br/previc/pt-br/publicacoes/informe-estatistico-trimestral                                             De 1º tri de 2007 a 4º tri de 2008: Tabela 8; Linha "Total"; coluna "Ativo Total (R$)";
De 1º tri de 2009 a 4º tri de 2010: Tabela 1.2.1; Linha "Total"; coluna "Ativo Total (R$)";
De 1º tri a 4º tri de 2011: Tabela 1.2.1; linha "Total"; coluna do respectivo trimestre;
De 1º tri de 2012 a 4º tri de 2016; Tabela 1.2.1; Linha "Total"; Colunado respectivo trimestre;
De 1º tri de 2017 a 1º tri de 2019; Tabela 1.2.2.; Linha "Total"; Coluna do respectivo trimestre;
De 2º tri de 2017 em diante; Tabela 1.2.1.; Linha "Total"; Coluna do respectivo trimestre.
</t>
  </si>
  <si>
    <t>https://www.gov.br/previc/pt-br/publicacoes/informe-estatistico-trimestral                                       De 1º tri a 4º tri de 2011: Tabela 1.2.7; Linha "1. PROVISÕES MATEMÁTICAS"; coluna do respectivo trimestre;
De 1º tri de 2012 até 4º tri de 2016; Tabela 1.2.7; Linha "1. PROVISÕES MATEMÁTICAS"; Coluna do respectivo trimestre;
De 1º tri de 2017 até 1º tri de 2019; Tabela 1.2.8.; Linha "1. PROVISÕES MATEMÁTICAS"; Coluna do respectivo trimestre.
De 2º tri de 2019 em diante; Tabela 1.2.7; Linha "1. PROVISÕES MATEMÁTICAS"; Coluna do respectivo trimestre</t>
  </si>
  <si>
    <t>https://www.gov.br/previc/pt-br/publicacoes/informe-estatistico-trimestral                                     De 1ºtri de 2007 a 4ºtri de 2008: Tabela 10; Linha "Recursos coletados"; coluna "Total";
De 1ºtri 2009 a 4ºtri de 2010: Tabela 1.2.6.; Linha "Recursos coletados"; coluna "Total";
(*)De 1ºtri a 4º tri de 2011: Tabela 1.2.12; Linha "Total adições"; coluna do respectivo trimestre;
De 1ºtri de 2012 em diante; Tabela 1.2.12; Linha "Total adições"; Coluna do respectivo trimestre.</t>
  </si>
  <si>
    <t>https://www.gov.br/previc/pt-br/publicacoes/informe-estatistico-trimestral                               De 1ºtri 2007 a 4ºtri de 2008: Tabela 12; Linha "Despesas"; Coluna "Total Valor (R$)" ou "Total";
De 1ºtri a 4ºtri de 2009: Tabela 1.2.4; Linha "Despesas"; coluna "Total";
De 1ºtri a 4ºtri de 2010: Tabela 1.2.5; Linha "Despesas"; coluna "Total";
De 1º tri a 3º tri de 2011: Gráfico 1.2.12.; Rótulos das barras do gráfico dos respectivos trimestres
4º tri de 2011: Tabela 1.2.14; Linha "TOTAL DESPESAS ADMINISTRATIVAS"/"Despesas Administrativas"; coluna "Total";
De 1º tri de 2012 a 1º tri de 2017: Tabela 1.2.14; Linha "TOTAL DESPESAS ADMINISTRATIVAS"/"Despesas Administrativas"; coluna "Total";
De 2º tri de 2017 a 1º tri de 2019: Tabela 1.2.15; Linha "TOTAL DESPESAS ADMINISTRATIVAS"/"Despesas Administrativas"; coluna "Total";
De 2º tri de 2019 em diante: Tabela 1.2.14; Linha "Total de despesas administrativas das EFPC"/"Despesas Administrativas"; coluna "Total".</t>
  </si>
  <si>
    <t>Contas referentes aos anos de 2007 até 2011 (3111, 3113, 3115, 3117 31191, 31192 e 31193); 2012 (3111, 3117, 31192, 31193 e 31194); de 2013 até 2016 (31111, 31171 e 31191); a partir de 2017 (31111, 31171, 31161 e 31191)</t>
  </si>
  <si>
    <t xml:space="preserve">Contas referentes aos anos de 2007 até 2011 (3112, 3114, 3116, 3118, 31195, 31196 e 31197); 2012 (3112, 3118, 31196 e 31197); de 2013 a 2016 (31112, 31172 e 31192); a partir de 2017 (31112, 31162, 31172 e 31192); </t>
  </si>
  <si>
    <t xml:space="preserve">Contas referentes aos anos de 2007 até 2011 (3111, 3113, 3115, 3117 31191, 31192 e 31193); 2012 (3111, 3117, 31192, 31193 e 31194); de 2013 até 2016 (31111, 31171 e 31191); a partir de 2017 (31111, 31171, 31161 e 31191); </t>
  </si>
  <si>
    <t xml:space="preserve">Contas referentes aos anos de 2007 até 2011 (3112, 3114, 3116, 3118, 31195, 31196 e 31197); 2012 (3112, 3118, 31196 e 31197); de 2013 a 2016 (31112, 31172 e 31192) a partir de 2017 (31112, 31162, 31172 e 31192); </t>
  </si>
  <si>
    <t>diferença entre as contas: 311 - (contas relativas à contraprestação/Médico-hospitalar + contas relativas à Contraprestação/Odontológico);</t>
  </si>
  <si>
    <t>Contas referentes aos anos de 2007 até 2011 (3111, 3113, 3115, 3117 31191, 31192 e 31193); 2012 (3111, 3117, 31192, 31193 e 31194); de 2013 até 2016 (31111, 31171 e 31191); a partir de 2017 (31111, 31171, 31161 e 31191);</t>
  </si>
  <si>
    <r>
      <t xml:space="preserve">contas referentes os anos de: </t>
    </r>
    <r>
      <rPr>
        <b/>
        <sz val="9"/>
        <rFont val="Calibri"/>
        <family val="2"/>
        <scheme val="minor"/>
      </rPr>
      <t>2007</t>
    </r>
    <r>
      <rPr>
        <sz val="9"/>
        <rFont val="Calibri"/>
        <family val="2"/>
        <scheme val="minor"/>
      </rPr>
      <t xml:space="preserve"> e </t>
    </r>
    <r>
      <rPr>
        <b/>
        <sz val="9"/>
        <rFont val="Calibri"/>
        <family val="2"/>
        <scheme val="minor"/>
      </rPr>
      <t>2008</t>
    </r>
    <r>
      <rPr>
        <sz val="9"/>
        <rFont val="Calibri"/>
        <family val="2"/>
        <scheme val="minor"/>
      </rPr>
      <t xml:space="preserve"> (4111, 4113, 4115, 4117, 4121, 4123, 4128, 4131, 4141) ; </t>
    </r>
    <r>
      <rPr>
        <b/>
        <sz val="9"/>
        <rFont val="Calibri"/>
        <family val="2"/>
        <scheme val="minor"/>
      </rPr>
      <t>2009</t>
    </r>
    <r>
      <rPr>
        <sz val="9"/>
        <rFont val="Calibri"/>
        <family val="2"/>
        <scheme val="minor"/>
      </rPr>
      <t xml:space="preserve"> ( 4111, 4113, 4115, 4117, 4121, 4123, 4125, 4127, 4131, 4138, 4141); </t>
    </r>
    <r>
      <rPr>
        <b/>
        <sz val="9"/>
        <rFont val="Calibri"/>
        <family val="2"/>
        <scheme val="minor"/>
      </rPr>
      <t>2010</t>
    </r>
    <r>
      <rPr>
        <sz val="9"/>
        <rFont val="Calibri"/>
        <family val="2"/>
        <scheme val="minor"/>
      </rPr>
      <t xml:space="preserve"> e </t>
    </r>
    <r>
      <rPr>
        <b/>
        <sz val="9"/>
        <rFont val="Calibri"/>
        <family val="2"/>
        <scheme val="minor"/>
      </rPr>
      <t xml:space="preserve">2011 </t>
    </r>
    <r>
      <rPr>
        <sz val="9"/>
        <rFont val="Calibri"/>
        <family val="2"/>
        <scheme val="minor"/>
      </rPr>
      <t xml:space="preserve">(4111, 4115, 4121, 4123, 4125, 4127, 4131, 4141); </t>
    </r>
    <r>
      <rPr>
        <b/>
        <sz val="9"/>
        <rFont val="Calibri"/>
        <family val="2"/>
        <scheme val="minor"/>
      </rPr>
      <t xml:space="preserve">2012 </t>
    </r>
    <r>
      <rPr>
        <sz val="9"/>
        <rFont val="Calibri"/>
        <family val="2"/>
        <scheme val="minor"/>
      </rPr>
      <t xml:space="preserve">( 4111, 4115, 4121, 4123, 4125, 4127, 4131, 4141, 415); </t>
    </r>
    <r>
      <rPr>
        <b/>
        <sz val="9"/>
        <rFont val="Calibri"/>
        <family val="2"/>
        <scheme val="minor"/>
      </rPr>
      <t>a partir de</t>
    </r>
    <r>
      <rPr>
        <sz val="9"/>
        <rFont val="Calibri"/>
        <family val="2"/>
        <scheme val="minor"/>
      </rPr>
      <t xml:space="preserve"> </t>
    </r>
    <r>
      <rPr>
        <b/>
        <sz val="9"/>
        <rFont val="Calibri"/>
        <family val="2"/>
        <scheme val="minor"/>
      </rPr>
      <t xml:space="preserve">2013 </t>
    </r>
    <r>
      <rPr>
        <sz val="9"/>
        <rFont val="Calibri"/>
        <family val="2"/>
        <scheme val="minor"/>
      </rPr>
      <t xml:space="preserve">(41111, 41411, 41511, 4152); a partir de </t>
    </r>
    <r>
      <rPr>
        <b/>
        <sz val="9"/>
        <rFont val="Calibri"/>
        <family val="2"/>
        <scheme val="minor"/>
      </rPr>
      <t>2019</t>
    </r>
    <r>
      <rPr>
        <sz val="9"/>
        <rFont val="Calibri"/>
        <family val="2"/>
        <scheme val="minor"/>
      </rPr>
      <t xml:space="preserve"> (41111, 41411, 41511, 4152, 41121, 41131, 41141, 41151, 41171, 41181, 41191, 41611, 4162); a partir de 2022 (41111, 41411, 41511, 4152, 41121, 41131, 41141, 41151, 41171, 41181, 41191, 41611, 4162,41161).</t>
    </r>
  </si>
  <si>
    <r>
      <t xml:space="preserve">contas referentes os anos de: </t>
    </r>
    <r>
      <rPr>
        <b/>
        <sz val="9"/>
        <rFont val="Calibri"/>
        <family val="2"/>
        <scheme val="minor"/>
      </rPr>
      <t>2007</t>
    </r>
    <r>
      <rPr>
        <sz val="9"/>
        <rFont val="Calibri"/>
        <family val="2"/>
        <scheme val="minor"/>
      </rPr>
      <t xml:space="preserve"> e </t>
    </r>
    <r>
      <rPr>
        <b/>
        <sz val="9"/>
        <rFont val="Calibri"/>
        <family val="2"/>
        <scheme val="minor"/>
      </rPr>
      <t>2008</t>
    </r>
    <r>
      <rPr>
        <sz val="9"/>
        <rFont val="Calibri"/>
        <family val="2"/>
        <scheme val="minor"/>
      </rPr>
      <t xml:space="preserve"> (4111, 4113, 4115, 4117, 4121, 4123, 4128, 4131, 4141) ; </t>
    </r>
    <r>
      <rPr>
        <b/>
        <sz val="9"/>
        <rFont val="Calibri"/>
        <family val="2"/>
        <scheme val="minor"/>
      </rPr>
      <t>2009</t>
    </r>
    <r>
      <rPr>
        <sz val="9"/>
        <rFont val="Calibri"/>
        <family val="2"/>
        <scheme val="minor"/>
      </rPr>
      <t xml:space="preserve"> ( 4111, 4113, 4115, 4117, 4121, 4123, 4125, 4127, 4131, 4138, 4141); </t>
    </r>
    <r>
      <rPr>
        <b/>
        <sz val="9"/>
        <rFont val="Calibri"/>
        <family val="2"/>
        <scheme val="minor"/>
      </rPr>
      <t>2010</t>
    </r>
    <r>
      <rPr>
        <sz val="9"/>
        <rFont val="Calibri"/>
        <family val="2"/>
        <scheme val="minor"/>
      </rPr>
      <t xml:space="preserve"> e </t>
    </r>
    <r>
      <rPr>
        <b/>
        <sz val="9"/>
        <rFont val="Calibri"/>
        <family val="2"/>
        <scheme val="minor"/>
      </rPr>
      <t xml:space="preserve">2011 </t>
    </r>
    <r>
      <rPr>
        <sz val="9"/>
        <rFont val="Calibri"/>
        <family val="2"/>
        <scheme val="minor"/>
      </rPr>
      <t xml:space="preserve">(4111, 4115, 4121, 4123, 4125, 4127, 4131, 4141); </t>
    </r>
    <r>
      <rPr>
        <b/>
        <sz val="9"/>
        <rFont val="Calibri"/>
        <family val="2"/>
        <scheme val="minor"/>
      </rPr>
      <t xml:space="preserve">2012 </t>
    </r>
    <r>
      <rPr>
        <sz val="9"/>
        <rFont val="Calibri"/>
        <family val="2"/>
        <scheme val="minor"/>
      </rPr>
      <t xml:space="preserve">( 4111, 4115, 4121, 4123, 4125, 4127, 4131, 4141, 415); </t>
    </r>
    <r>
      <rPr>
        <b/>
        <sz val="9"/>
        <rFont val="Calibri"/>
        <family val="2"/>
        <scheme val="minor"/>
      </rPr>
      <t xml:space="preserve">a partir de 2013 </t>
    </r>
    <r>
      <rPr>
        <sz val="9"/>
        <rFont val="Calibri"/>
        <family val="2"/>
        <scheme val="minor"/>
      </rPr>
      <t xml:space="preserve">(41111, 41411, 41511, 4152); a partir de </t>
    </r>
    <r>
      <rPr>
        <b/>
        <sz val="9"/>
        <rFont val="Calibri"/>
        <family val="2"/>
        <scheme val="minor"/>
      </rPr>
      <t>2019</t>
    </r>
    <r>
      <rPr>
        <sz val="9"/>
        <rFont val="Calibri"/>
        <family val="2"/>
        <scheme val="minor"/>
      </rPr>
      <t xml:space="preserve"> (41111, 41411, 41511, 4152, 41121, 41131, 41141, 41151, 41171, 41181, 41191, 41611, 4162); a partir de 2022 (41111, 41411, 41511, 4152, 41121, 41131, 41141, 41151, 41171, 41181, 41191, 41611, 4162,41161).</t>
    </r>
  </si>
  <si>
    <r>
      <t xml:space="preserve">contas referentes os anos de: </t>
    </r>
    <r>
      <rPr>
        <b/>
        <sz val="9"/>
        <rFont val="Calibri"/>
        <family val="2"/>
        <scheme val="minor"/>
      </rPr>
      <t>2007</t>
    </r>
    <r>
      <rPr>
        <sz val="9"/>
        <rFont val="Calibri"/>
        <family val="2"/>
        <scheme val="minor"/>
      </rPr>
      <t xml:space="preserve"> e </t>
    </r>
    <r>
      <rPr>
        <b/>
        <sz val="9"/>
        <rFont val="Calibri"/>
        <family val="2"/>
        <scheme val="minor"/>
      </rPr>
      <t>2008</t>
    </r>
    <r>
      <rPr>
        <sz val="9"/>
        <rFont val="Calibri"/>
        <family val="2"/>
        <scheme val="minor"/>
      </rPr>
      <t xml:space="preserve"> (4112, 4114, 4116, 4118, 4122, 4124, 4129, 4132, 4142); </t>
    </r>
    <r>
      <rPr>
        <b/>
        <sz val="9"/>
        <rFont val="Calibri"/>
        <family val="2"/>
        <scheme val="minor"/>
      </rPr>
      <t>2009</t>
    </r>
    <r>
      <rPr>
        <sz val="9"/>
        <rFont val="Calibri"/>
        <family val="2"/>
        <scheme val="minor"/>
      </rPr>
      <t xml:space="preserve"> (4112, 4114, 4116, 4118, 4122, 4124, 4126, 4128, 4132, 4139, 4142); </t>
    </r>
    <r>
      <rPr>
        <b/>
        <sz val="9"/>
        <rFont val="Calibri"/>
        <family val="2"/>
        <scheme val="minor"/>
      </rPr>
      <t>2010</t>
    </r>
    <r>
      <rPr>
        <sz val="9"/>
        <rFont val="Calibri"/>
        <family val="2"/>
        <scheme val="minor"/>
      </rPr>
      <t xml:space="preserve">, </t>
    </r>
    <r>
      <rPr>
        <b/>
        <sz val="9"/>
        <rFont val="Calibri"/>
        <family val="2"/>
        <scheme val="minor"/>
      </rPr>
      <t>2011</t>
    </r>
    <r>
      <rPr>
        <sz val="9"/>
        <rFont val="Calibri"/>
        <family val="2"/>
        <scheme val="minor"/>
      </rPr>
      <t xml:space="preserve"> e </t>
    </r>
    <r>
      <rPr>
        <b/>
        <sz val="9"/>
        <rFont val="Calibri"/>
        <family val="2"/>
        <scheme val="minor"/>
      </rPr>
      <t>2012</t>
    </r>
    <r>
      <rPr>
        <sz val="9"/>
        <rFont val="Calibri"/>
        <family val="2"/>
        <scheme val="minor"/>
      </rPr>
      <t xml:space="preserve"> (4112, 4116, 4122, 4124, 4126, 4128, 4132, 4142); </t>
    </r>
    <r>
      <rPr>
        <b/>
        <sz val="9"/>
        <rFont val="Calibri"/>
        <family val="2"/>
        <scheme val="minor"/>
      </rPr>
      <t>a partir de 2013</t>
    </r>
    <r>
      <rPr>
        <sz val="9"/>
        <rFont val="Calibri"/>
        <family val="2"/>
        <scheme val="minor"/>
      </rPr>
      <t xml:space="preserve"> (41112, 41412, 41512); a partir de </t>
    </r>
    <r>
      <rPr>
        <b/>
        <sz val="9"/>
        <rFont val="Calibri"/>
        <family val="2"/>
        <scheme val="minor"/>
      </rPr>
      <t>2019</t>
    </r>
    <r>
      <rPr>
        <sz val="9"/>
        <rFont val="Calibri"/>
        <family val="2"/>
        <scheme val="minor"/>
      </rPr>
      <t xml:space="preserve"> (41112, 41412, 41512, 41122, 41132, 41142, 41152, 41172, 41182, 41192, 41612); a partir de 2022 (41112, 41412, 41512, 41122, 41132, 41142, 41152, 41172, 41182, 41192, 41612,41162). </t>
    </r>
  </si>
  <si>
    <t>1. Abrir o link http://www.sidra.ibge.gov.br/;
2.Acessar a aba "PMC";
3.Procurar o quadro “Índice e variação de volume de vendas, segundo os segmentos e os tipos de índice/variação - últimos 12 meses”;
4. Clicar na opção “Listar tabelas”; 
5. Índice e variação da receita nominal e do volume de vendas de materiais de construção (2022 = 100) ;
6. Selecione "PMC - Número-índice (2022=100) (Número-índice): 5 de 5 casas decimais" em Variável;
7.Selecione Índice de receita nominal de vendas de materiais de construção em "Tipos de Índice";
8. Selecione todos os meses na opção “Mês”; 
9. Selecione "Brasil" na opção "Unidade Territorial";
10. Faça o download do arquivo;
(API: /t/8757/n1/all/v/7169/p/all/c11046/56731/d/v7169%205)</t>
  </si>
  <si>
    <t>1. Abrir o link http://www.sidra.ibge.gov.br/;
2.Acessar a aba "PMC";
3.Procurar o quadro “Índice de volume de vendas no comércio varejista, por tipos de índice/variação, segundo as atividades”;
4. Clicar na opção “Listar tabelas”; 
5. Clicar em Índice e variação da receita nominal e do volume de vendas no comércio varejista, por atividades (2022 = 100);
6. Selecione "PMC - Número-índice (2022=100) (Número-índice): 5 de 5 casas decimais" em Variável;
7. Selecione "Índice de receita nominal de vendas no comércio varejista" em "Tipos de Índice";
8. Selecione "Móveis e eletrodomésticos" em "Atividades";
9. Selecione todos os meses na opção “Mês”; 
10. Selecione "Brasil" na opção "Unidade Territorial";
11.Faça o download do arquivo;
(API: /t/8882/n1/all/v/7169/p/all/c11046/56733/c85/2759/d/v7169%205)</t>
  </si>
  <si>
    <t>BACEN + IBGE</t>
  </si>
  <si>
    <t>1. Abrir link: https://www3.bcb.gov.br/sgspub/localizarseries/localizarSeries.do?method=prepararTelaLocalizarSeries; 2. Pesquisar pelo código 4461 pegar valores até 12/2019; 
3. De 12/2019 em diante fazer o seguinte:
3.1. Abrir o link http://www.sidra.ibge.gov.br/;
3.2.Acessar a aba "IPCA";
3.3.Procurar o quadro “IPCA - Variação mensal, acumulada no ano e peso mensal, segundo o índice geral e os grupos de produtos e serviços”;
3.4. Clicar na opção “Listar tabelas”; 
3.5. Clicar em "IPCA - Variação mensal, acumulada no ano, acumulada em 12 meses e peso mensal, para o índice geral, grupos, subgrupos, itens e subitens de produtos e serviços (a partir de janeiro/2020)";
3.6. Selecione "IPCA - Variação mensal (%): 2 de 2 casas decimais" em Variável;
3.7.Selecione "6203.Plano de saúde" em "Geral, grupo, subgrupo, item e subitem [1/457]";
3.8. Selecione todos os meses na opção “Mês”; 
3.9. Selecione "Brasil" na opção "Unidade Territorial";
3.10. Faça o download do arquivo;
(API: /t/7060/n1/all/v/63/p/all/c315/7695/d/v63%202)
4. Juntar as duas séries e relizar o cáculo do ínidce.  Cálculo a ser feito: Atribuir o valor de 100 para o primeiro período de dados do cubo do núcleo (jan/01). Aplicar o IPCA seg saúde- var % mensal da seguinte forma, nos meses posteriores a janeiro/2001: Valor do mês anterior * (1 + (IPCA seg saúde)/100)</t>
  </si>
  <si>
    <t xml:space="preserve">1. Abrir o link http://www.sidra.ibge.gov.br/;
2.Acessar a aba "PIM-PF/BR";
3.Clicar na opção "Relação de tabelas da pesquisa";
4.Procurar a tabela "Produção Física Industrial, por seções e atividades industriais" (código:8888);
5.Selecionar a variável "PIMPF - Número índice (2012=100) (Número-índice)";
6.Selecionar a opção "Industria Geral" em Seções e atividades industriais;
7.Selecionar todos os meses na opção "MÊS";
8.Selecione "Brasil" na opção "Unidade Territorial";
9.Faça o download do arquivo
(API: /t/8888/n1/all/v/12606/p/all/c544/129314/d/v12606%205)
          </t>
  </si>
  <si>
    <t>Série Descontinuada 1. Abrir link: https://www3.bcb.gov.br/sgspub/localizarseries/localizarSeries.do?method=prepararTelaLocalizarSeries; 2. Pesquisar pelo código 206; (descontinuado)
Nova Série 1. Abrir link: https://www3.bcb.gov.br/sgspub/localizarseries/localizarSeries.do?method=prepararTelaLocalizarSeries; 2. Pesquisar pelo código 7493;</t>
  </si>
  <si>
    <t xml:space="preserve">Série descontinuada 1. Abrir link: https://www3.bcb.gov.br/sgspub/localizarseries/localizarSeries.do?method=prepararTelaLocalizarSeries; 2. Pesquisar pelo código 1212; 
Nova Série 1. Abrir link: https://www3.bcb.gov.br/sgspub/localizarseries/localizarSeries.do?method=prepararTelaLocalizarSeries; 2. Pesquisar pelo código 22083 </t>
  </si>
  <si>
    <t>IPCA saúde índice</t>
  </si>
  <si>
    <t>Índice nacional de preços ao consumidor-Amplo (IPCA) - Saúde e cuidados pessoais</t>
  </si>
  <si>
    <t>1. Abrir link: https://www3.bcb.gov.br/sgspub/localizarseries/localizarSeries.do?method=prepararTelaLocalizarSeries; 2. Pesquisar pelo código 1641; 3. Cálculo a ser feito: Atribuir o valor de 100 para o primeiro período de dados do cubo do núcleo (jan/01). Aplicar o IPCA saúde- var % mensal da seguinte forma, nos meses posteriores a janeiro/2001: Valor do mês anterior * (1 + (IPCA saúde)/100)</t>
  </si>
  <si>
    <t>1. Abrir o link http://www.sidra.ibge.gov.br/;
2.Acessar a aba "CNT";
3.Clicar na opção "Relação de tabelas da pesquisa";
4.Procurar a tabela "Contas econômicas trimestrais, segundo os tipos de contas (milhões de Reais)" (código:2072);
5.Selecionar a variável "Poupança bruta (Milhões de Reais)";
6.Selecionar todos os trimestres na opção "Trimestre";
7.Selecione "Brasil" na opção "Unidade Territorial";
8.Faça o download do arquivo;
(API:/t/2072/n1/all/v/940/p/all)</t>
  </si>
  <si>
    <t>INPC saúde índice</t>
  </si>
  <si>
    <t xml:space="preserve">Especificação Antiga: 1. Abrir link: https://www3.bcb.gov.br/sgspub/localizarseries/localizarSeries.do?method=prepararTelaLocalizarSeries; 2. Pesquisar pelo código 2048; 
Nova Especificação: 1. até 02/2007 usar os dados do arquivo salvo em "B:\ESTUDOS\DataSeg\Automatização Fontes\BACEN\NAO APAGAR - 2048.csv".
2. A partir de 03/2007, abrir link: https://www3.bcb.gov.br/sgspub/localizarseries/localizarSeries.do?method=prepararTelaLocalizarSeries; 3. Pesquisar pelas séries 20597 e 20609 e somar os valores; </t>
  </si>
  <si>
    <t xml:space="preserve">Exportação (US$ FOB) - US$ </t>
  </si>
  <si>
    <t xml:space="preserve">Rendimento médio real de todos os trabalhos, habitualmente recebido por mês, pelas pessoas de 14 anos ou mais de idade, ocupadas na semana de referência, com rendimento de trabalho </t>
  </si>
  <si>
    <t xml:space="preserve">Rendimento médio nominal de todos os trabalhos, habitualmente recebido por mês, pelas pessoas de 14 anos ou mais de idade, ocupadas na semana de referência, com rendimento de trabalho </t>
  </si>
  <si>
    <t>1. Abrir o link http://www.sidra.ibge.gov.br/; 
2. Acessar a aba “PNADC/M”; 
3. Procurar o quadro “Rendimento - Indicadores selecionados”;
 4. Clicar na opção “Listar tabelas”; 
5. Clicar na  opção “Rendimento médio mensal real e nominal das pessoas de 14 anos ou mais de idade ocupadas na semana de referência com rendimento de trabalho, habitualmente recebido em todos os trabalhos - Total, coeficiente de variação, variações em relação aos três trimestres móveis anteriores e ao mesmo trimestre móvel do ano anterior”,  isto é, tabela 6390; 
6. Selecione em “Variável” a opção “Rendimento médio mensal real das pessoas de 14 anos ou mais de idade ocupadas na semana de referência com rendimento de trabalho, habitualmente recebido em todos os trabalhos (Reais)”; 
7. Selecione a opção “Total” em “Posição na ocupação e categoria do emprego no trabalho principal”  
8. Selecione todos trimestres móveis na opção “Trimestre Móvel”; 
9. Selecione “Brasil” na opção “Unidade Territorial”; 
10. Faça o download do arquivo.
API: /t/6390/n1/all/v/5933/p/all</t>
  </si>
  <si>
    <t>1. Abrir o link http://www.sidra.ibge.gov.br/; 
2. Acessar a aba “PNADC/M”; 
3. Procurar o quadro “Rendimento - Indicadores selecionados”;
 4. Clicar na opção “Listar tabelas”; 
5. Clicar na  opção “Rendimento médio mensal real e nominal das pessoas de 14 anos ou mais de idade ocupadas na semana de referência com rendimento de trabalho, habitualmente recebido em todos os trabalhos - Total, coeficiente de variação, variações em relação aos três trimestres móveis anteriores e ao mesmo trimestre móvel do ano anterior”,  isto é, tabela 6390; 
6. Selecione em “Variável” a opção “Rendimento médio mensal nominal das pessoas de 14 anos ou mais de idade ocupadas na semana de referência com rendimento de trabalho, habitualmente recebido em todos os trabalhos (Reais)”; 
7. Selecione a opção “Total” em “Posição na ocupação e categoria do emprego no trabalho principal”  
8. Selecione todos trimestres móveis na opção “Trimestre Móvel”; 
9. Selecione “Brasil” na opção “Unidade Territorial”; 
10. Faça o download do arquivo.
API:  /t/6390/n1/all/v/5929/p/all</t>
  </si>
  <si>
    <t>1. Abrir o link http://www.sidra.ibge.gov.br/;
2.Acessar a aba "PIM-PF/BR";
3.Clicar na opção "Relação de tabelas da pesquisa";
4.Procurar a tabela "Produção Física Industrial dos insumos típicos da construção civil" (código:8886);
5.Selecionar a variável "PIMPF - Número-índice (2012=100) (Número-índice)";
6.Selecionar todos os meses na opção "MÊS";
8.Selecione "Brasil" na opção "Unidade Territorial";
9.Faça o download do arquivo;
(API: /t/8886/n1/all/v/12606/p/all/d/v12606%205)</t>
  </si>
  <si>
    <t xml:space="preserve">1. Abrir o link http://www.sidra.ibge.gov.br/; 
2. Acessar a aba “PIM-PF/BR”; 
3. Procurar o quadro “PIMPF - Produção física industrial por grandes categorias econômicas”; 
4. Clicar na opção “Listar tabelas”; 
5. Selecione a opção “PIMPF - Número-índice (2012=100) (Número-índice): 5 de 5 casas decimais” em “Variável [1/6]”; 
6. Selecione a opção “210 Alimentos e bebidas básicos, destinados principalmente à indústria” em “Grandes categorias econômicas”; 
7. Selecione todos os meses na opção “Mês”; 
8. Selecione “Brasil” na opção “Unidade Territorial [1/1]”; 
9. Faça o download do arquivo
(API: /t/8887/n1/all/v/12606/p/all/c543/129285/d/v12606%205)
</t>
  </si>
  <si>
    <t>proporção feita na ses_prev_uf (coluna CONTRIB) aplicado na soma dos valores da coluna contrib do arquivo Ses_Contrib_Benef (filtrar coluna tipoProd para o produto "PrevTrad")</t>
  </si>
  <si>
    <t>ses_prev_uf e Ses_Contrib_Benef</t>
  </si>
  <si>
    <t>ses_pgbl_uf e
Ses_Contrib_Benef</t>
  </si>
  <si>
    <t>proporção feita na ses_pgbl_uf (coluna CONTRIB) aplicado na soma dos valores da coluna contrib do arquivo Ses_Contrib_Benef (filtrar coluna tipoProd para o produto "PGBL")</t>
  </si>
  <si>
    <t>proporção feita na ses_pgbl_uf (coluna BENEFPAGO) aplicado na soma dos valores da coluna benef do arquivo Ses_Contrib_Benef (filtrar coluna tipoProd para o produto "PGBL")</t>
  </si>
  <si>
    <t>ses_prev_uf e 
Ses_Contrib_Benef</t>
  </si>
  <si>
    <t>proporção feita na ses_prev_uf (coluna BENEFPAGO) aplicado na soma dos valores da coluna benef do arquivo Ses_Contrib_Benef (filtrar coluna tipoProd para o produto "PrevTrad")</t>
  </si>
  <si>
    <t>proporção feita na ses_pgbl_uf (coluna RESGPAGO) aplicado na Soma dos Indicadores "Resgate PGBL total" e "Resgate PGBL parcial"</t>
  </si>
  <si>
    <t>Benefícios VGBL pagos</t>
  </si>
  <si>
    <t>VGBL</t>
  </si>
  <si>
    <t>Ses_Contrib_Benef</t>
  </si>
  <si>
    <t>Somar valores da coluna benef. Filtrar coluna tipoProd para o produto "VGBL"</t>
  </si>
  <si>
    <r>
      <t xml:space="preserve">conta: Antes de 2014, coluna PREMIO </t>
    </r>
    <r>
      <rPr>
        <sz val="9"/>
        <rFont val="Calibri"/>
        <family val="2"/>
        <scheme val="minor"/>
      </rPr>
      <t>da tabela ses_cap_uf. A partir de 2014, proporção feita na ses_cap_uf (PREMIO) aplicado no total da coluna receitasCap da  tabela ses_Dados_cap, agrupado por COENTI e DAMESANO.</t>
    </r>
  </si>
  <si>
    <t>Ses_Dados_Cap e ses_cap_uf</t>
  </si>
  <si>
    <t>conta: Antes de 2014, coluna PREMIO da tabela ses_cap_uf. A partir de 2014, proporção feita na ses_cap_uf (PREMIO) aplicado no total da coluna receitasCap da  tabela ses_Dados_cap, agrupado por COENTI e DAMESANO.</t>
  </si>
  <si>
    <t>conta: Antes de 2014, coluna RESGPAGO da tabela ses_cap_uf. A partir de 2014, proporção feita na ses_cap_uf (RESGPAGO) aplicado no total da coluna valorResg da tabela ses_Dados_cap, agrupado por COENTI e DAMESANO.</t>
  </si>
  <si>
    <t>conta: Antes de 2014, coluna SORTPAGO da tabela ses_cap_uf. A partir de 2014, proporção feita na ses_cap_uf (SORTPAGO) aplicado no total da coluna valorResg da tabela ses_Dados_cap, agrupado por COENTI e DAMESANO.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</si>
</sst>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_(* #,##0.00_);_(* \(#,##0.00\);_(* \-??_);_(@_)"/>
    <numFmt numFmtId="165" formatCode="_-* #,##0_-;\-* #,##0_-;_-* &quot;-&quot;??_-;_-@_-"/>
  </numFmts>
  <fonts count="31" x14ac:knownFonts="1">
    <font>
      <sz val="11"/>
      <color theme="1"/>
      <name val="Calibri"/>
      <family val="2"/>
      <scheme val="minor"/>
    </font>
    <font>
      <sz val="9"/>
      <color indexed="81"/>
      <name val="Tahoma"/>
      <family val="2"/>
    </font>
    <font>
      <b/>
      <sz val="9"/>
      <color indexed="81"/>
      <name val="Tahoma"/>
      <family val="2"/>
    </font>
    <font>
      <b/>
      <sz val="9"/>
      <color theme="0"/>
      <name val="Calibri"/>
      <family val="2"/>
      <scheme val="min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u/>
      <sz val="9"/>
      <name val="Calibri"/>
      <family val="2"/>
    </font>
    <font>
      <b/>
      <sz val="10"/>
      <color rgb="FFFF0000"/>
      <name val="Calibri"/>
      <family val="2"/>
      <scheme val="minor"/>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9"/>
      <color rgb="FFFF0000"/>
      <name val="Calibri"/>
      <family val="2"/>
      <scheme val="minor"/>
    </font>
    <font>
      <b/>
      <sz val="11"/>
      <color theme="1"/>
      <name val="Calibri"/>
      <family val="2"/>
      <scheme val="minor"/>
    </font>
    <font>
      <b/>
      <sz val="9"/>
      <color rgb="FFFFFF00"/>
      <name val="Calibri"/>
      <family val="2"/>
      <scheme val="minor"/>
    </font>
    <font>
      <sz val="11"/>
      <color rgb="FFFFFF00"/>
      <name val="Calibri"/>
      <family val="2"/>
      <scheme val="minor"/>
    </font>
    <font>
      <b/>
      <sz val="11"/>
      <color rgb="FFFFFF00"/>
      <name val="Calibri"/>
      <family val="2"/>
      <scheme val="minor"/>
    </font>
    <font>
      <sz val="10"/>
      <name val="Arial"/>
      <family val="2"/>
    </font>
    <font>
      <u/>
      <sz val="10"/>
      <color indexed="12"/>
      <name val="Arial"/>
      <family val="2"/>
    </font>
    <font>
      <sz val="10"/>
      <name val="Times New Roman"/>
      <family val="1"/>
      <charset val="1"/>
    </font>
    <font>
      <sz val="10"/>
      <name val="MS Sans Serif"/>
      <family val="2"/>
      <charset val="1"/>
    </font>
    <font>
      <sz val="11"/>
      <color theme="1"/>
      <name val="Calibri"/>
      <family val="2"/>
      <scheme val="minor"/>
    </font>
    <font>
      <sz val="10"/>
      <color theme="1"/>
      <name val="Tahoma"/>
      <family val="2"/>
    </font>
    <font>
      <b/>
      <sz val="10"/>
      <color theme="1"/>
      <name val="Tahoma"/>
      <family val="2"/>
    </font>
    <font>
      <b/>
      <sz val="11"/>
      <name val="Calibri"/>
      <family val="2"/>
      <scheme val="minor"/>
    </font>
    <font>
      <sz val="11"/>
      <name val="Calibri"/>
      <family val="2"/>
      <scheme val="minor"/>
    </font>
    <font>
      <sz val="11"/>
      <color rgb="FFFF0000"/>
      <name val="Calibri"/>
      <family val="2"/>
      <scheme val="minor"/>
    </font>
    <font>
      <u/>
      <sz val="11"/>
      <color theme="10"/>
      <name val="Calibri"/>
      <family val="2"/>
      <scheme val="minor"/>
    </font>
    <font>
      <u/>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s>
  <borders count="12">
    <border>
      <left/>
      <right/>
      <top/>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style="thin">
        <color indexed="64"/>
      </left>
      <right/>
      <top style="thin">
        <color theme="4" tint="0.79998168889431442"/>
      </top>
      <bottom style="thin">
        <color theme="4" tint="0.7999816888943144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6">
    <xf numFmtId="0" fontId="0" fillId="0" borderId="0"/>
    <xf numFmtId="0" fontId="19" fillId="0" borderId="0"/>
    <xf numFmtId="0" fontId="20" fillId="0" borderId="0" applyNumberFormat="0" applyFill="0" applyBorder="0" applyAlignment="0" applyProtection="0">
      <alignment vertical="top"/>
      <protection locked="0"/>
    </xf>
    <xf numFmtId="44" fontId="19" fillId="0" borderId="0" applyFont="0" applyFill="0" applyBorder="0" applyAlignment="0" applyProtection="0"/>
    <xf numFmtId="44" fontId="19" fillId="0" borderId="0" applyFont="0" applyFill="0" applyBorder="0" applyAlignment="0" applyProtection="0"/>
    <xf numFmtId="0" fontId="21" fillId="0" borderId="0"/>
    <xf numFmtId="9" fontId="19" fillId="0" borderId="0" applyFont="0" applyFill="0" applyBorder="0" applyAlignment="0" applyProtection="0"/>
    <xf numFmtId="9" fontId="22" fillId="0" borderId="0" applyFill="0" applyBorder="0" applyProtection="0"/>
    <xf numFmtId="43" fontId="19" fillId="0" borderId="0" applyFont="0" applyFill="0" applyBorder="0" applyAlignment="0" applyProtection="0"/>
    <xf numFmtId="43" fontId="19" fillId="0" borderId="0" applyFont="0" applyFill="0" applyBorder="0" applyAlignment="0" applyProtection="0"/>
    <xf numFmtId="164" fontId="22" fillId="0" borderId="0" applyFill="0" applyBorder="0" applyProtection="0"/>
    <xf numFmtId="164" fontId="22" fillId="0" borderId="0" applyFill="0" applyBorder="0" applyProtection="0"/>
    <xf numFmtId="0" fontId="24" fillId="0" borderId="0"/>
    <xf numFmtId="0" fontId="23" fillId="0" borderId="0"/>
    <xf numFmtId="43" fontId="23" fillId="0" borderId="0" applyFont="0" applyFill="0" applyBorder="0" applyAlignment="0" applyProtection="0"/>
    <xf numFmtId="0" fontId="29" fillId="0" borderId="0" applyNumberFormat="0" applyFill="0" applyBorder="0" applyAlignment="0" applyProtection="0"/>
  </cellStyleXfs>
  <cellXfs count="303">
    <xf numFmtId="0" fontId="0" fillId="0" borderId="0" xfId="0"/>
    <xf numFmtId="0" fontId="6" fillId="4" borderId="2" xfId="0" applyFont="1" applyFill="1" applyBorder="1" applyAlignment="1">
      <alignment horizontal="center" vertical="center"/>
    </xf>
    <xf numFmtId="0" fontId="4" fillId="4" borderId="3" xfId="0" applyFont="1" applyFill="1" applyBorder="1" applyAlignment="1">
      <alignment horizontal="left" vertical="center"/>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0" xfId="0" applyFont="1" applyFill="1" applyAlignment="1">
      <alignment horizontal="left" vertical="center" wrapText="1"/>
    </xf>
    <xf numFmtId="0" fontId="6"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3" fillId="3" borderId="2" xfId="0" applyFont="1" applyFill="1" applyBorder="1" applyAlignment="1">
      <alignment horizontal="center" vertical="center"/>
    </xf>
    <xf numFmtId="0" fontId="4" fillId="2" borderId="0" xfId="0" applyFont="1" applyFill="1"/>
    <xf numFmtId="0" fontId="0" fillId="0" borderId="0" xfId="0" applyAlignment="1">
      <alignment wrapText="1"/>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0" borderId="0" xfId="0" applyAlignment="1">
      <alignment vertical="center" wrapText="1"/>
    </xf>
    <xf numFmtId="0" fontId="6" fillId="2" borderId="0" xfId="0" applyFont="1" applyFill="1" applyAlignment="1">
      <alignment horizontal="center" vertical="center" wrapText="1"/>
    </xf>
    <xf numFmtId="0" fontId="6" fillId="2" borderId="0" xfId="0" applyFont="1" applyFill="1" applyAlignment="1">
      <alignment horizontal="left"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6" fillId="6" borderId="5" xfId="0" applyFont="1" applyFill="1" applyBorder="1" applyAlignment="1">
      <alignment horizontal="center" vertical="center" wrapText="1"/>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wrapText="1"/>
    </xf>
    <xf numFmtId="0" fontId="0" fillId="0" borderId="0" xfId="0" applyAlignment="1">
      <alignment horizontal="center" vertical="center" wrapText="1"/>
    </xf>
    <xf numFmtId="0" fontId="5" fillId="7" borderId="7" xfId="0" applyFont="1" applyFill="1" applyBorder="1" applyAlignment="1">
      <alignment horizontal="left" vertical="top" wrapText="1"/>
    </xf>
    <xf numFmtId="0" fontId="5" fillId="7" borderId="8" xfId="0" applyFont="1" applyFill="1" applyBorder="1" applyAlignment="1">
      <alignment horizontal="center" vertical="top"/>
    </xf>
    <xf numFmtId="0" fontId="5" fillId="7" borderId="8" xfId="0" applyFont="1" applyFill="1" applyBorder="1" applyAlignment="1">
      <alignment horizontal="left" vertical="top" wrapText="1"/>
    </xf>
    <xf numFmtId="0" fontId="5" fillId="7" borderId="8" xfId="0" applyFont="1" applyFill="1" applyBorder="1" applyAlignment="1">
      <alignment horizontal="left" vertical="center" wrapText="1"/>
    </xf>
    <xf numFmtId="0" fontId="5" fillId="7" borderId="8" xfId="0" applyFont="1" applyFill="1" applyBorder="1" applyAlignment="1">
      <alignment horizontal="center" vertical="center"/>
    </xf>
    <xf numFmtId="0" fontId="5" fillId="7" borderId="8" xfId="0" applyFont="1" applyFill="1" applyBorder="1" applyAlignment="1">
      <alignment horizontal="center" vertical="center" wrapText="1"/>
    </xf>
    <xf numFmtId="0" fontId="5" fillId="7" borderId="8" xfId="0" applyFont="1" applyFill="1" applyBorder="1" applyAlignment="1">
      <alignment horizontal="left" vertical="center"/>
    </xf>
    <xf numFmtId="0" fontId="5" fillId="7" borderId="9" xfId="0" applyFont="1" applyFill="1" applyBorder="1" applyAlignment="1">
      <alignment horizontal="center" vertical="center"/>
    </xf>
    <xf numFmtId="0" fontId="0" fillId="0" borderId="0" xfId="0" applyAlignment="1">
      <alignment horizontal="center" vertical="center"/>
    </xf>
    <xf numFmtId="0" fontId="5" fillId="5" borderId="4" xfId="0" applyFont="1" applyFill="1" applyBorder="1" applyAlignment="1">
      <alignment horizontal="left" vertical="top" wrapText="1"/>
    </xf>
    <xf numFmtId="0" fontId="5" fillId="5" borderId="5" xfId="0" applyFont="1" applyFill="1" applyBorder="1" applyAlignment="1">
      <alignment horizontal="center" vertical="top"/>
    </xf>
    <xf numFmtId="0" fontId="5" fillId="5" borderId="5" xfId="0" applyFont="1" applyFill="1" applyBorder="1" applyAlignment="1">
      <alignment horizontal="left" vertical="top" wrapText="1"/>
    </xf>
    <xf numFmtId="0" fontId="5" fillId="5" borderId="5" xfId="0" applyFont="1" applyFill="1" applyBorder="1" applyAlignment="1">
      <alignment horizontal="left" vertical="center" wrapText="1"/>
    </xf>
    <xf numFmtId="0" fontId="5" fillId="5" borderId="5" xfId="0" applyFont="1" applyFill="1" applyBorder="1" applyAlignment="1">
      <alignment horizontal="center" vertical="center"/>
    </xf>
    <xf numFmtId="0" fontId="5" fillId="5" borderId="5" xfId="0" applyFont="1" applyFill="1" applyBorder="1" applyAlignment="1">
      <alignment horizontal="center" vertical="center" wrapText="1"/>
    </xf>
    <xf numFmtId="0" fontId="5" fillId="5" borderId="5" xfId="0" applyFont="1" applyFill="1" applyBorder="1" applyAlignment="1">
      <alignment horizontal="left" vertical="center"/>
    </xf>
    <xf numFmtId="0" fontId="5" fillId="5" borderId="6" xfId="0" applyFont="1" applyFill="1" applyBorder="1" applyAlignment="1">
      <alignment horizontal="center" vertical="center"/>
    </xf>
    <xf numFmtId="0" fontId="6" fillId="2" borderId="10" xfId="0" applyFont="1" applyFill="1" applyBorder="1" applyAlignment="1">
      <alignment horizontal="left" vertical="top" wrapText="1"/>
    </xf>
    <xf numFmtId="0" fontId="6" fillId="2" borderId="0" xfId="0" applyFont="1" applyFill="1" applyAlignment="1">
      <alignment horizontal="center" vertical="top"/>
    </xf>
    <xf numFmtId="0" fontId="6" fillId="2" borderId="0" xfId="0" applyFont="1" applyFill="1" applyAlignment="1">
      <alignment horizontal="left" vertical="top" wrapText="1"/>
    </xf>
    <xf numFmtId="0" fontId="6" fillId="2" borderId="0" xfId="0" applyFont="1" applyFill="1" applyAlignment="1">
      <alignment horizontal="center" vertical="center"/>
    </xf>
    <xf numFmtId="0" fontId="6" fillId="2" borderId="0" xfId="0" applyFont="1" applyFill="1" applyAlignment="1">
      <alignment horizontal="left" vertical="center"/>
    </xf>
    <xf numFmtId="0" fontId="0" fillId="0" borderId="0" xfId="0" applyAlignment="1">
      <alignment horizontal="left" vertical="top" wrapText="1"/>
    </xf>
    <xf numFmtId="0" fontId="6" fillId="2" borderId="11" xfId="0" applyFont="1" applyFill="1" applyBorder="1" applyAlignment="1">
      <alignment horizontal="center" vertical="center"/>
    </xf>
    <xf numFmtId="0" fontId="6" fillId="2" borderId="7" xfId="0" applyFont="1" applyFill="1" applyBorder="1" applyAlignment="1">
      <alignment horizontal="left" vertical="top" wrapText="1"/>
    </xf>
    <xf numFmtId="0" fontId="6" fillId="2" borderId="8" xfId="0" applyFont="1" applyFill="1" applyBorder="1" applyAlignment="1">
      <alignment horizontal="center" vertical="top"/>
    </xf>
    <xf numFmtId="0" fontId="6" fillId="2" borderId="8" xfId="0" applyFont="1" applyFill="1" applyBorder="1" applyAlignment="1">
      <alignment horizontal="left" vertical="top" wrapText="1"/>
    </xf>
    <xf numFmtId="0" fontId="6" fillId="2" borderId="8" xfId="0" applyFont="1" applyFill="1" applyBorder="1" applyAlignment="1">
      <alignment horizontal="left" vertical="center" wrapText="1"/>
    </xf>
    <xf numFmtId="0" fontId="6" fillId="2" borderId="8"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8" xfId="0" applyFont="1" applyFill="1" applyBorder="1" applyAlignment="1">
      <alignment horizontal="left" vertical="center"/>
    </xf>
    <xf numFmtId="0" fontId="6" fillId="2" borderId="9" xfId="0" applyFont="1" applyFill="1" applyBorder="1" applyAlignment="1">
      <alignment horizontal="center" vertical="center"/>
    </xf>
    <xf numFmtId="0" fontId="5" fillId="5" borderId="7" xfId="0" applyFont="1" applyFill="1" applyBorder="1" applyAlignment="1">
      <alignment horizontal="left" vertical="top" wrapText="1"/>
    </xf>
    <xf numFmtId="0" fontId="5" fillId="5" borderId="8" xfId="0" applyFont="1" applyFill="1" applyBorder="1" applyAlignment="1">
      <alignment horizontal="center" vertical="top"/>
    </xf>
    <xf numFmtId="0" fontId="7" fillId="5" borderId="8" xfId="0" applyFont="1" applyFill="1" applyBorder="1" applyAlignment="1">
      <alignment horizontal="left" vertical="top" wrapText="1"/>
    </xf>
    <xf numFmtId="0" fontId="5" fillId="5" borderId="8" xfId="0" applyFont="1" applyFill="1" applyBorder="1" applyAlignment="1">
      <alignment horizontal="left" vertical="center" wrapText="1"/>
    </xf>
    <xf numFmtId="0" fontId="5" fillId="5" borderId="8" xfId="0" applyFont="1" applyFill="1" applyBorder="1" applyAlignment="1">
      <alignment horizontal="center" vertical="center"/>
    </xf>
    <xf numFmtId="0" fontId="5" fillId="5" borderId="8" xfId="0" applyFont="1" applyFill="1" applyBorder="1" applyAlignment="1">
      <alignment horizontal="center" vertical="center" wrapText="1"/>
    </xf>
    <xf numFmtId="0" fontId="5" fillId="5" borderId="8" xfId="0" applyFont="1" applyFill="1" applyBorder="1" applyAlignment="1">
      <alignment horizontal="left" vertical="center"/>
    </xf>
    <xf numFmtId="0" fontId="5" fillId="5" borderId="8" xfId="0" applyFont="1" applyFill="1" applyBorder="1" applyAlignment="1">
      <alignment horizontal="left" vertical="top" wrapText="1"/>
    </xf>
    <xf numFmtId="0" fontId="5" fillId="5" borderId="9" xfId="0" applyFont="1" applyFill="1" applyBorder="1" applyAlignment="1">
      <alignment horizontal="center" vertical="center"/>
    </xf>
    <xf numFmtId="0" fontId="7" fillId="2" borderId="10" xfId="0" applyFont="1" applyFill="1" applyBorder="1" applyAlignment="1">
      <alignment horizontal="left" vertical="top" wrapText="1"/>
    </xf>
    <xf numFmtId="0" fontId="7" fillId="2" borderId="0" xfId="0" applyFont="1" applyFill="1" applyAlignment="1">
      <alignment horizontal="center" vertical="top"/>
    </xf>
    <xf numFmtId="0" fontId="7" fillId="2" borderId="0" xfId="0" applyFont="1" applyFill="1" applyAlignment="1">
      <alignment horizontal="left" vertical="top" wrapText="1"/>
    </xf>
    <xf numFmtId="0" fontId="7" fillId="2" borderId="0" xfId="0" applyFont="1" applyFill="1" applyAlignment="1">
      <alignment horizontal="left" vertical="center" wrapText="1"/>
    </xf>
    <xf numFmtId="0" fontId="7" fillId="2" borderId="0" xfId="0" applyFont="1" applyFill="1" applyAlignment="1">
      <alignment horizontal="center" vertical="center"/>
    </xf>
    <xf numFmtId="0" fontId="7" fillId="2" borderId="0" xfId="0" applyFont="1" applyFill="1" applyAlignment="1">
      <alignment horizontal="center" vertical="center" wrapText="1"/>
    </xf>
    <xf numFmtId="0" fontId="7" fillId="2" borderId="0" xfId="0" applyFont="1" applyFill="1" applyAlignment="1">
      <alignment horizontal="left" vertical="center"/>
    </xf>
    <xf numFmtId="0" fontId="7" fillId="2" borderId="11" xfId="0" applyFont="1" applyFill="1" applyBorder="1" applyAlignment="1">
      <alignment horizontal="center" vertical="center"/>
    </xf>
    <xf numFmtId="0" fontId="6" fillId="7" borderId="7" xfId="0" applyFont="1" applyFill="1" applyBorder="1" applyAlignment="1">
      <alignment horizontal="left" vertical="top" wrapText="1"/>
    </xf>
    <xf numFmtId="0" fontId="6" fillId="7" borderId="8" xfId="0" applyFont="1" applyFill="1" applyBorder="1" applyAlignment="1">
      <alignment horizontal="center" vertical="top"/>
    </xf>
    <xf numFmtId="0" fontId="6" fillId="7" borderId="8" xfId="0" applyFont="1" applyFill="1" applyBorder="1" applyAlignment="1">
      <alignment horizontal="left" vertical="top" wrapText="1"/>
    </xf>
    <xf numFmtId="0" fontId="6" fillId="7" borderId="8" xfId="0" applyFont="1" applyFill="1" applyBorder="1" applyAlignment="1">
      <alignment horizontal="left" vertical="center" wrapText="1"/>
    </xf>
    <xf numFmtId="0" fontId="6" fillId="7" borderId="8" xfId="0" applyFont="1" applyFill="1" applyBorder="1" applyAlignment="1">
      <alignment horizontal="center" vertical="center"/>
    </xf>
    <xf numFmtId="0" fontId="6" fillId="7" borderId="8" xfId="0" applyFont="1" applyFill="1" applyBorder="1" applyAlignment="1">
      <alignment horizontal="center" vertical="center" wrapText="1"/>
    </xf>
    <xf numFmtId="0" fontId="6" fillId="7" borderId="8" xfId="0" applyFont="1" applyFill="1" applyBorder="1" applyAlignment="1">
      <alignment horizontal="left" vertical="center"/>
    </xf>
    <xf numFmtId="0" fontId="6" fillId="7" borderId="9" xfId="0" applyFont="1" applyFill="1" applyBorder="1" applyAlignment="1">
      <alignment horizontal="center" vertical="center"/>
    </xf>
    <xf numFmtId="0" fontId="6" fillId="7" borderId="4" xfId="0" applyFont="1" applyFill="1" applyBorder="1" applyAlignment="1">
      <alignment horizontal="left" vertical="top" wrapText="1"/>
    </xf>
    <xf numFmtId="0" fontId="6" fillId="7" borderId="5" xfId="0" applyFont="1" applyFill="1" applyBorder="1" applyAlignment="1">
      <alignment horizontal="center" vertical="top"/>
    </xf>
    <xf numFmtId="0" fontId="6" fillId="7" borderId="5" xfId="0" applyFont="1" applyFill="1" applyBorder="1" applyAlignment="1">
      <alignment horizontal="left" vertical="top" wrapText="1"/>
    </xf>
    <xf numFmtId="0" fontId="6" fillId="7" borderId="5" xfId="0" applyFont="1" applyFill="1" applyBorder="1" applyAlignment="1">
      <alignment horizontal="left" vertical="center" wrapText="1"/>
    </xf>
    <xf numFmtId="0" fontId="6" fillId="7" borderId="5" xfId="0" applyFont="1" applyFill="1" applyBorder="1" applyAlignment="1">
      <alignment horizontal="center" vertical="center"/>
    </xf>
    <xf numFmtId="0" fontId="6" fillId="7" borderId="5" xfId="0" applyFont="1" applyFill="1" applyBorder="1" applyAlignment="1">
      <alignment horizontal="center" vertical="center" wrapText="1"/>
    </xf>
    <xf numFmtId="0" fontId="6" fillId="7" borderId="5" xfId="0" applyFont="1" applyFill="1" applyBorder="1" applyAlignment="1">
      <alignment horizontal="left" vertical="center"/>
    </xf>
    <xf numFmtId="0" fontId="6" fillId="7" borderId="6" xfId="0" applyFont="1" applyFill="1" applyBorder="1" applyAlignment="1">
      <alignment horizontal="center" vertical="center"/>
    </xf>
    <xf numFmtId="0" fontId="7" fillId="7" borderId="4" xfId="0" applyFont="1" applyFill="1" applyBorder="1" applyAlignment="1">
      <alignment horizontal="left" vertical="top" wrapText="1"/>
    </xf>
    <xf numFmtId="0" fontId="7" fillId="7" borderId="5" xfId="0" applyFont="1" applyFill="1" applyBorder="1" applyAlignment="1">
      <alignment horizontal="center" vertical="top"/>
    </xf>
    <xf numFmtId="0" fontId="7" fillId="7" borderId="5" xfId="0" applyFont="1" applyFill="1" applyBorder="1" applyAlignment="1">
      <alignment horizontal="left" vertical="top" wrapText="1"/>
    </xf>
    <xf numFmtId="0" fontId="7" fillId="7" borderId="5" xfId="0" applyFont="1" applyFill="1" applyBorder="1" applyAlignment="1">
      <alignment horizontal="left" vertical="center" wrapText="1"/>
    </xf>
    <xf numFmtId="0" fontId="7" fillId="7" borderId="5" xfId="0" applyFont="1" applyFill="1" applyBorder="1" applyAlignment="1">
      <alignment horizontal="center" vertical="center"/>
    </xf>
    <xf numFmtId="0" fontId="7" fillId="7" borderId="5" xfId="0" applyFont="1" applyFill="1" applyBorder="1" applyAlignment="1">
      <alignment horizontal="center" vertical="center" wrapText="1"/>
    </xf>
    <xf numFmtId="0" fontId="7" fillId="7" borderId="5" xfId="0" applyFont="1" applyFill="1" applyBorder="1" applyAlignment="1">
      <alignment horizontal="left" vertical="center"/>
    </xf>
    <xf numFmtId="0" fontId="7" fillId="7" borderId="6" xfId="0" applyFont="1" applyFill="1" applyBorder="1" applyAlignment="1">
      <alignment horizontal="center" vertical="center"/>
    </xf>
    <xf numFmtId="0" fontId="7" fillId="5" borderId="5" xfId="0" applyFont="1" applyFill="1" applyBorder="1" applyAlignment="1">
      <alignment horizontal="left" vertical="top" wrapText="1"/>
    </xf>
    <xf numFmtId="0" fontId="7" fillId="7" borderId="7" xfId="0" applyFont="1" applyFill="1" applyBorder="1" applyAlignment="1">
      <alignment horizontal="left" vertical="top" wrapText="1"/>
    </xf>
    <xf numFmtId="0" fontId="7" fillId="7" borderId="8" xfId="0" applyFont="1" applyFill="1" applyBorder="1" applyAlignment="1">
      <alignment horizontal="center" vertical="top"/>
    </xf>
    <xf numFmtId="0" fontId="7" fillId="7" borderId="8" xfId="0" applyFont="1" applyFill="1" applyBorder="1" applyAlignment="1">
      <alignment horizontal="left" vertical="top" wrapText="1"/>
    </xf>
    <xf numFmtId="0" fontId="7" fillId="7" borderId="8" xfId="0" applyFont="1" applyFill="1" applyBorder="1" applyAlignment="1">
      <alignment horizontal="left" vertical="center" wrapText="1"/>
    </xf>
    <xf numFmtId="0" fontId="7" fillId="7" borderId="8" xfId="0" applyFont="1" applyFill="1" applyBorder="1" applyAlignment="1">
      <alignment horizontal="center" vertical="center"/>
    </xf>
    <xf numFmtId="0" fontId="7" fillId="7" borderId="8" xfId="0" applyFont="1" applyFill="1" applyBorder="1" applyAlignment="1">
      <alignment horizontal="center" vertical="center" wrapText="1"/>
    </xf>
    <xf numFmtId="0" fontId="7" fillId="7" borderId="8" xfId="0" applyFont="1" applyFill="1" applyBorder="1" applyAlignment="1">
      <alignment horizontal="left" vertical="center"/>
    </xf>
    <xf numFmtId="0" fontId="7" fillId="7" borderId="9" xfId="0" applyFont="1" applyFill="1" applyBorder="1" applyAlignment="1">
      <alignment horizontal="center" vertical="center"/>
    </xf>
    <xf numFmtId="0" fontId="7" fillId="5" borderId="7" xfId="0" applyFont="1" applyFill="1" applyBorder="1" applyAlignment="1">
      <alignment horizontal="left" vertical="top" wrapText="1"/>
    </xf>
    <xf numFmtId="0" fontId="7" fillId="5" borderId="8" xfId="0" applyFont="1" applyFill="1" applyBorder="1" applyAlignment="1">
      <alignment horizontal="center" vertical="top"/>
    </xf>
    <xf numFmtId="0" fontId="7" fillId="5" borderId="8" xfId="0" applyFont="1" applyFill="1" applyBorder="1" applyAlignment="1">
      <alignment horizontal="left" vertical="center" wrapText="1"/>
    </xf>
    <xf numFmtId="0" fontId="7" fillId="5" borderId="8" xfId="0" applyFont="1" applyFill="1" applyBorder="1" applyAlignment="1">
      <alignment horizontal="center" vertical="center"/>
    </xf>
    <xf numFmtId="0" fontId="7" fillId="5" borderId="8" xfId="0" applyFont="1" applyFill="1" applyBorder="1" applyAlignment="1">
      <alignment horizontal="center" vertical="center" wrapText="1"/>
    </xf>
    <xf numFmtId="0" fontId="7" fillId="5" borderId="8" xfId="0" applyFont="1" applyFill="1" applyBorder="1" applyAlignment="1">
      <alignment horizontal="left" vertical="center"/>
    </xf>
    <xf numFmtId="0" fontId="7" fillId="5" borderId="9" xfId="0" applyFont="1" applyFill="1" applyBorder="1" applyAlignment="1">
      <alignment horizontal="center" vertical="center"/>
    </xf>
    <xf numFmtId="0" fontId="6" fillId="5" borderId="4" xfId="0" applyFont="1" applyFill="1" applyBorder="1" applyAlignment="1">
      <alignment horizontal="left" vertical="top" wrapText="1"/>
    </xf>
    <xf numFmtId="0" fontId="6" fillId="5" borderId="5" xfId="0" applyFont="1" applyFill="1" applyBorder="1" applyAlignment="1">
      <alignment horizontal="center" vertical="top"/>
    </xf>
    <xf numFmtId="0" fontId="6" fillId="5" borderId="5" xfId="0" applyFont="1" applyFill="1" applyBorder="1" applyAlignment="1">
      <alignment horizontal="left" vertical="top" wrapText="1"/>
    </xf>
    <xf numFmtId="0" fontId="6" fillId="5" borderId="5" xfId="0" applyFont="1" applyFill="1" applyBorder="1" applyAlignment="1">
      <alignment horizontal="left" vertical="center" wrapText="1"/>
    </xf>
    <xf numFmtId="0" fontId="6" fillId="5" borderId="5" xfId="0" applyFont="1" applyFill="1" applyBorder="1" applyAlignment="1">
      <alignment horizontal="center" vertical="center"/>
    </xf>
    <xf numFmtId="0" fontId="6" fillId="5" borderId="5" xfId="0" applyFont="1" applyFill="1" applyBorder="1" applyAlignment="1">
      <alignment horizontal="center" vertical="center" wrapText="1"/>
    </xf>
    <xf numFmtId="0" fontId="6" fillId="5" borderId="5" xfId="0" applyFont="1" applyFill="1" applyBorder="1" applyAlignment="1">
      <alignment horizontal="left" vertical="center"/>
    </xf>
    <xf numFmtId="0" fontId="6" fillId="5" borderId="6" xfId="0" applyFont="1" applyFill="1" applyBorder="1" applyAlignment="1">
      <alignment horizontal="center" vertical="center"/>
    </xf>
    <xf numFmtId="0" fontId="7" fillId="5" borderId="4" xfId="0" applyFont="1" applyFill="1" applyBorder="1" applyAlignment="1">
      <alignment horizontal="left" vertical="top" wrapText="1"/>
    </xf>
    <xf numFmtId="0" fontId="7" fillId="5" borderId="5" xfId="0" applyFont="1" applyFill="1" applyBorder="1" applyAlignment="1">
      <alignment horizontal="center" vertical="top"/>
    </xf>
    <xf numFmtId="0" fontId="7" fillId="5" borderId="5" xfId="0" applyFont="1" applyFill="1" applyBorder="1" applyAlignment="1">
      <alignment horizontal="left" vertical="center" wrapText="1"/>
    </xf>
    <xf numFmtId="0" fontId="7" fillId="5" borderId="5" xfId="0" applyFont="1" applyFill="1" applyBorder="1" applyAlignment="1">
      <alignment horizontal="center" vertical="center"/>
    </xf>
    <xf numFmtId="0" fontId="7" fillId="5" borderId="5" xfId="0" applyFont="1" applyFill="1" applyBorder="1" applyAlignment="1">
      <alignment horizontal="center" vertical="center" wrapText="1"/>
    </xf>
    <xf numFmtId="0" fontId="7" fillId="5" borderId="5" xfId="0" applyFont="1" applyFill="1" applyBorder="1" applyAlignment="1">
      <alignment horizontal="left" vertical="center"/>
    </xf>
    <xf numFmtId="0" fontId="7" fillId="5" borderId="6" xfId="0" applyFont="1" applyFill="1" applyBorder="1" applyAlignment="1">
      <alignment horizontal="center" vertical="center"/>
    </xf>
    <xf numFmtId="0" fontId="15" fillId="0" borderId="0" xfId="0" applyFont="1" applyAlignment="1">
      <alignment horizontal="center" vertical="center"/>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8" xfId="0" applyFont="1" applyBorder="1" applyAlignment="1">
      <alignment horizontal="left" vertical="center" wrapText="1"/>
    </xf>
    <xf numFmtId="0" fontId="6" fillId="0" borderId="8" xfId="0" applyFont="1" applyBorder="1" applyAlignment="1">
      <alignment horizontal="center" vertical="center" wrapText="1"/>
    </xf>
    <xf numFmtId="0" fontId="6" fillId="0" borderId="8" xfId="0" applyFont="1" applyBorder="1" applyAlignment="1">
      <alignment horizontal="left" vertical="center"/>
    </xf>
    <xf numFmtId="0" fontId="4" fillId="7" borderId="4" xfId="0" applyFont="1" applyFill="1" applyBorder="1" applyAlignment="1">
      <alignment horizontal="left" vertical="top" wrapText="1"/>
    </xf>
    <xf numFmtId="0" fontId="4" fillId="7" borderId="5" xfId="0" applyFont="1" applyFill="1" applyBorder="1" applyAlignment="1">
      <alignment horizontal="center" vertical="top"/>
    </xf>
    <xf numFmtId="0" fontId="4" fillId="7" borderId="5" xfId="0" applyFont="1" applyFill="1" applyBorder="1" applyAlignment="1">
      <alignment horizontal="left" vertical="top" wrapText="1"/>
    </xf>
    <xf numFmtId="0" fontId="4" fillId="7" borderId="5" xfId="0" applyFont="1" applyFill="1" applyBorder="1" applyAlignment="1">
      <alignment horizontal="left" vertical="center" wrapText="1"/>
    </xf>
    <xf numFmtId="0" fontId="4" fillId="7" borderId="5" xfId="0" applyFont="1" applyFill="1" applyBorder="1" applyAlignment="1">
      <alignment horizontal="center" vertical="center"/>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xf>
    <xf numFmtId="0" fontId="4" fillId="7" borderId="6" xfId="0" applyFont="1" applyFill="1" applyBorder="1" applyAlignment="1">
      <alignment horizontal="center" vertical="center"/>
    </xf>
    <xf numFmtId="0" fontId="5" fillId="7" borderId="4" xfId="0" applyFont="1" applyFill="1" applyBorder="1" applyAlignment="1">
      <alignment horizontal="left" vertical="top" wrapText="1"/>
    </xf>
    <xf numFmtId="0" fontId="5" fillId="7" borderId="5" xfId="0" applyFont="1" applyFill="1" applyBorder="1" applyAlignment="1">
      <alignment horizontal="center" vertical="top"/>
    </xf>
    <xf numFmtId="0" fontId="5" fillId="7" borderId="5" xfId="0" applyFont="1" applyFill="1" applyBorder="1" applyAlignment="1">
      <alignment horizontal="left" vertical="center" wrapText="1"/>
    </xf>
    <xf numFmtId="0" fontId="5" fillId="7" borderId="5" xfId="0" applyFont="1" applyFill="1" applyBorder="1" applyAlignment="1">
      <alignment horizontal="center" vertical="center"/>
    </xf>
    <xf numFmtId="0" fontId="5" fillId="7" borderId="5" xfId="0" applyFont="1" applyFill="1" applyBorder="1" applyAlignment="1">
      <alignment horizontal="left" vertical="center"/>
    </xf>
    <xf numFmtId="0" fontId="5" fillId="7" borderId="5" xfId="0" applyFont="1" applyFill="1" applyBorder="1" applyAlignment="1">
      <alignment horizontal="left" vertical="top" wrapText="1"/>
    </xf>
    <xf numFmtId="0" fontId="5" fillId="7" borderId="6" xfId="0" applyFont="1" applyFill="1" applyBorder="1" applyAlignment="1">
      <alignment horizontal="center" vertical="center"/>
    </xf>
    <xf numFmtId="0" fontId="4" fillId="5" borderId="4" xfId="0" applyFont="1" applyFill="1" applyBorder="1" applyAlignment="1">
      <alignment horizontal="left" vertical="top" wrapText="1"/>
    </xf>
    <xf numFmtId="0" fontId="4" fillId="5" borderId="5" xfId="0" applyFont="1" applyFill="1" applyBorder="1" applyAlignment="1">
      <alignment horizontal="center" vertical="top"/>
    </xf>
    <xf numFmtId="0" fontId="4" fillId="5" borderId="5" xfId="0" applyFont="1" applyFill="1" applyBorder="1" applyAlignment="1">
      <alignment horizontal="left" vertical="center" wrapText="1"/>
    </xf>
    <xf numFmtId="0" fontId="4" fillId="5" borderId="5" xfId="0" applyFont="1" applyFill="1" applyBorder="1" applyAlignment="1">
      <alignment horizontal="center" vertical="center"/>
    </xf>
    <xf numFmtId="0" fontId="4" fillId="5" borderId="5" xfId="0" applyFont="1" applyFill="1" applyBorder="1" applyAlignment="1">
      <alignment horizontal="left" vertical="center"/>
    </xf>
    <xf numFmtId="0" fontId="4" fillId="5" borderId="5" xfId="0" applyFont="1" applyFill="1" applyBorder="1" applyAlignment="1">
      <alignment horizontal="left" vertical="top" wrapText="1"/>
    </xf>
    <xf numFmtId="0" fontId="4" fillId="5" borderId="6" xfId="0" applyFont="1" applyFill="1" applyBorder="1" applyAlignment="1">
      <alignment horizontal="center" vertical="center"/>
    </xf>
    <xf numFmtId="0" fontId="4" fillId="5" borderId="7" xfId="0" applyFont="1" applyFill="1" applyBorder="1" applyAlignment="1">
      <alignment horizontal="left" vertical="top" wrapText="1"/>
    </xf>
    <xf numFmtId="0" fontId="4" fillId="5" borderId="8" xfId="0" applyFont="1" applyFill="1" applyBorder="1" applyAlignment="1">
      <alignment horizontal="center" vertical="top"/>
    </xf>
    <xf numFmtId="0" fontId="6" fillId="5" borderId="8" xfId="0" applyFont="1" applyFill="1" applyBorder="1" applyAlignment="1">
      <alignment horizontal="left" vertical="top" wrapText="1"/>
    </xf>
    <xf numFmtId="0" fontId="4" fillId="5" borderId="8" xfId="0" applyFont="1" applyFill="1" applyBorder="1" applyAlignment="1">
      <alignment horizontal="left" vertical="center" wrapText="1"/>
    </xf>
    <xf numFmtId="0" fontId="4" fillId="5" borderId="8" xfId="0" applyFont="1" applyFill="1" applyBorder="1" applyAlignment="1">
      <alignment horizontal="center" vertical="center"/>
    </xf>
    <xf numFmtId="0" fontId="6" fillId="5" borderId="8" xfId="0" applyFont="1" applyFill="1" applyBorder="1" applyAlignment="1">
      <alignment horizontal="center" vertical="center" wrapText="1"/>
    </xf>
    <xf numFmtId="0" fontId="4" fillId="5" borderId="8" xfId="0" applyFont="1" applyFill="1" applyBorder="1" applyAlignment="1">
      <alignment horizontal="left" vertical="center"/>
    </xf>
    <xf numFmtId="0" fontId="4" fillId="5" borderId="8" xfId="0" applyFont="1" applyFill="1" applyBorder="1" applyAlignment="1">
      <alignment horizontal="left" vertical="top" wrapText="1"/>
    </xf>
    <xf numFmtId="0" fontId="4" fillId="5" borderId="9" xfId="0" applyFont="1" applyFill="1" applyBorder="1" applyAlignment="1">
      <alignment horizontal="center" vertical="center"/>
    </xf>
    <xf numFmtId="0" fontId="4" fillId="5"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8" borderId="4" xfId="0" applyFont="1" applyFill="1" applyBorder="1" applyAlignment="1">
      <alignment horizontal="left" vertical="top" wrapText="1"/>
    </xf>
    <xf numFmtId="0" fontId="5" fillId="8" borderId="5" xfId="0" applyFont="1" applyFill="1" applyBorder="1" applyAlignment="1">
      <alignment horizontal="center" vertical="top"/>
    </xf>
    <xf numFmtId="0" fontId="5" fillId="8" borderId="5" xfId="0" applyFont="1" applyFill="1" applyBorder="1" applyAlignment="1">
      <alignment horizontal="left" vertical="top" wrapText="1"/>
    </xf>
    <xf numFmtId="0" fontId="5" fillId="8" borderId="5" xfId="0" applyFont="1" applyFill="1" applyBorder="1" applyAlignment="1">
      <alignment horizontal="left" vertical="center" wrapText="1"/>
    </xf>
    <xf numFmtId="0" fontId="5" fillId="8" borderId="5" xfId="0" applyFont="1" applyFill="1" applyBorder="1" applyAlignment="1">
      <alignment horizontal="center" vertical="center"/>
    </xf>
    <xf numFmtId="0" fontId="5" fillId="8" borderId="5" xfId="0" applyFont="1" applyFill="1" applyBorder="1" applyAlignment="1">
      <alignment horizontal="center" vertical="center" wrapText="1"/>
    </xf>
    <xf numFmtId="0" fontId="5" fillId="8" borderId="5" xfId="0" applyFont="1" applyFill="1" applyBorder="1" applyAlignment="1">
      <alignment horizontal="left" vertical="center"/>
    </xf>
    <xf numFmtId="0" fontId="5" fillId="8" borderId="6" xfId="0" applyFont="1" applyFill="1" applyBorder="1" applyAlignment="1">
      <alignment horizontal="center" vertical="center"/>
    </xf>
    <xf numFmtId="0" fontId="4" fillId="7" borderId="7" xfId="0" applyFont="1" applyFill="1" applyBorder="1" applyAlignment="1">
      <alignment horizontal="left" vertical="top" wrapText="1"/>
    </xf>
    <xf numFmtId="0" fontId="4" fillId="7" borderId="8" xfId="0" applyFont="1" applyFill="1" applyBorder="1" applyAlignment="1">
      <alignment horizontal="center" vertical="top"/>
    </xf>
    <xf numFmtId="0" fontId="4" fillId="7" borderId="8" xfId="0" applyFont="1" applyFill="1" applyBorder="1" applyAlignment="1">
      <alignment horizontal="left" vertical="top" wrapText="1"/>
    </xf>
    <xf numFmtId="0" fontId="4" fillId="7" borderId="8" xfId="0" applyFont="1" applyFill="1" applyBorder="1" applyAlignment="1">
      <alignment horizontal="left" vertical="center" wrapText="1"/>
    </xf>
    <xf numFmtId="0" fontId="4" fillId="7" borderId="8" xfId="0" applyFont="1" applyFill="1" applyBorder="1" applyAlignment="1">
      <alignment horizontal="center" vertical="center"/>
    </xf>
    <xf numFmtId="0" fontId="4" fillId="7" borderId="8" xfId="0" applyFont="1" applyFill="1" applyBorder="1" applyAlignment="1">
      <alignment horizontal="center" vertical="center" wrapText="1"/>
    </xf>
    <xf numFmtId="0" fontId="4" fillId="7" borderId="8" xfId="0" applyFont="1" applyFill="1" applyBorder="1" applyAlignment="1">
      <alignment horizontal="left" vertical="center"/>
    </xf>
    <xf numFmtId="0" fontId="4" fillId="7" borderId="9" xfId="0" applyFont="1" applyFill="1" applyBorder="1" applyAlignment="1">
      <alignment horizontal="center" vertical="center"/>
    </xf>
    <xf numFmtId="0" fontId="14" fillId="5" borderId="8" xfId="0" applyFont="1" applyFill="1" applyBorder="1" applyAlignment="1">
      <alignment horizontal="left" vertical="top" wrapText="1"/>
    </xf>
    <xf numFmtId="0" fontId="4" fillId="5" borderId="8" xfId="0" applyFont="1" applyFill="1" applyBorder="1" applyAlignment="1">
      <alignment horizontal="center" vertical="center" wrapText="1"/>
    </xf>
    <xf numFmtId="0" fontId="14" fillId="7" borderId="8" xfId="0" applyFont="1" applyFill="1" applyBorder="1" applyAlignment="1">
      <alignment horizontal="left" vertical="top" wrapText="1"/>
    </xf>
    <xf numFmtId="0" fontId="14" fillId="7" borderId="7" xfId="0" applyFont="1" applyFill="1" applyBorder="1" applyAlignment="1">
      <alignment horizontal="left" vertical="top" wrapText="1"/>
    </xf>
    <xf numFmtId="0" fontId="14" fillId="7" borderId="8" xfId="0" applyFont="1" applyFill="1" applyBorder="1" applyAlignment="1">
      <alignment horizontal="center" vertical="top"/>
    </xf>
    <xf numFmtId="0" fontId="14" fillId="7" borderId="8" xfId="0" applyFont="1" applyFill="1" applyBorder="1" applyAlignment="1">
      <alignment horizontal="left" vertical="center" wrapText="1"/>
    </xf>
    <xf numFmtId="0" fontId="14" fillId="7" borderId="8" xfId="0" applyFont="1" applyFill="1" applyBorder="1" applyAlignment="1">
      <alignment horizontal="center" vertical="center"/>
    </xf>
    <xf numFmtId="0" fontId="14" fillId="7" borderId="8" xfId="0" applyFont="1" applyFill="1" applyBorder="1" applyAlignment="1">
      <alignment horizontal="center" vertical="center" wrapText="1"/>
    </xf>
    <xf numFmtId="0" fontId="14" fillId="7" borderId="8" xfId="0" applyFont="1" applyFill="1" applyBorder="1" applyAlignment="1">
      <alignment horizontal="left" vertical="center"/>
    </xf>
    <xf numFmtId="0" fontId="14" fillId="7" borderId="9" xfId="0" applyFont="1" applyFill="1" applyBorder="1" applyAlignment="1">
      <alignment horizontal="center" vertical="center"/>
    </xf>
    <xf numFmtId="0" fontId="14" fillId="7" borderId="9" xfId="0" applyFont="1" applyFill="1" applyBorder="1" applyAlignment="1">
      <alignment horizontal="center" vertical="center" wrapText="1"/>
    </xf>
    <xf numFmtId="0" fontId="4" fillId="7" borderId="8" xfId="0" applyFont="1" applyFill="1" applyBorder="1" applyAlignment="1">
      <alignment horizontal="center" vertical="top" wrapText="1"/>
    </xf>
    <xf numFmtId="0" fontId="4" fillId="7" borderId="9" xfId="0" applyFont="1" applyFill="1" applyBorder="1" applyAlignment="1">
      <alignment horizontal="center" vertical="center" wrapText="1"/>
    </xf>
    <xf numFmtId="0" fontId="14" fillId="7" borderId="4" xfId="0" applyFont="1" applyFill="1" applyBorder="1" applyAlignment="1">
      <alignment horizontal="left" vertical="top" wrapText="1"/>
    </xf>
    <xf numFmtId="0" fontId="14" fillId="7" borderId="5" xfId="0" applyFont="1" applyFill="1" applyBorder="1" applyAlignment="1">
      <alignment horizontal="left" vertical="top" wrapText="1"/>
    </xf>
    <xf numFmtId="0" fontId="14" fillId="7" borderId="5" xfId="0" applyFont="1" applyFill="1" applyBorder="1" applyAlignment="1">
      <alignment horizontal="left" vertical="center" wrapText="1"/>
    </xf>
    <xf numFmtId="0" fontId="14" fillId="7" borderId="5" xfId="0" applyFont="1" applyFill="1" applyBorder="1" applyAlignment="1">
      <alignment horizontal="center" vertical="center" wrapText="1"/>
    </xf>
    <xf numFmtId="0" fontId="14" fillId="7" borderId="5" xfId="0" applyFont="1" applyFill="1" applyBorder="1" applyAlignment="1">
      <alignment horizontal="left" vertical="center"/>
    </xf>
    <xf numFmtId="0" fontId="6" fillId="7" borderId="8" xfId="0" applyFont="1" applyFill="1" applyBorder="1" applyAlignment="1">
      <alignment horizontal="center" vertical="top" wrapText="1"/>
    </xf>
    <xf numFmtId="0" fontId="6" fillId="7" borderId="9" xfId="0" applyFont="1" applyFill="1" applyBorder="1" applyAlignment="1">
      <alignment horizontal="center" vertical="center" wrapText="1"/>
    </xf>
    <xf numFmtId="0" fontId="4" fillId="7" borderId="5" xfId="0" applyFont="1" applyFill="1" applyBorder="1" applyAlignment="1">
      <alignment horizontal="center" vertical="top" wrapText="1"/>
    </xf>
    <xf numFmtId="0" fontId="4" fillId="7" borderId="6" xfId="0" applyFont="1" applyFill="1" applyBorder="1" applyAlignment="1">
      <alignment horizontal="center" vertical="center" wrapText="1"/>
    </xf>
    <xf numFmtId="0" fontId="5" fillId="7" borderId="8" xfId="0" applyFont="1" applyFill="1" applyBorder="1" applyAlignment="1">
      <alignment horizontal="center" vertical="top" wrapText="1"/>
    </xf>
    <xf numFmtId="0" fontId="5" fillId="7" borderId="9" xfId="0" applyFont="1" applyFill="1" applyBorder="1" applyAlignment="1">
      <alignment horizontal="center" vertical="center" wrapText="1"/>
    </xf>
    <xf numFmtId="0" fontId="6" fillId="5" borderId="5" xfId="0" applyFont="1" applyFill="1" applyBorder="1" applyAlignment="1">
      <alignment horizontal="center" vertical="top" wrapText="1"/>
    </xf>
    <xf numFmtId="0" fontId="6" fillId="5" borderId="6" xfId="0" applyFont="1" applyFill="1" applyBorder="1" applyAlignment="1">
      <alignment horizontal="center" vertical="center" wrapText="1"/>
    </xf>
    <xf numFmtId="0" fontId="6" fillId="5" borderId="7" xfId="0" applyFont="1" applyFill="1" applyBorder="1" applyAlignment="1">
      <alignment horizontal="left" vertical="top" wrapText="1"/>
    </xf>
    <xf numFmtId="0" fontId="6" fillId="5" borderId="8" xfId="0" applyFont="1" applyFill="1" applyBorder="1" applyAlignment="1">
      <alignment horizontal="center" vertical="top" wrapText="1"/>
    </xf>
    <xf numFmtId="0" fontId="6" fillId="5" borderId="8" xfId="0" applyFont="1" applyFill="1" applyBorder="1" applyAlignment="1">
      <alignment horizontal="left" vertical="center" wrapText="1"/>
    </xf>
    <xf numFmtId="0" fontId="6" fillId="5" borderId="8" xfId="0" applyFont="1" applyFill="1" applyBorder="1" applyAlignment="1">
      <alignment horizontal="left" vertical="center"/>
    </xf>
    <xf numFmtId="0" fontId="6" fillId="5" borderId="9" xfId="0" applyFont="1" applyFill="1" applyBorder="1" applyAlignment="1">
      <alignment horizontal="center" vertical="center" wrapText="1"/>
    </xf>
    <xf numFmtId="0" fontId="6" fillId="9" borderId="0" xfId="0" applyFont="1" applyFill="1" applyAlignment="1">
      <alignment horizontal="left" vertical="top" wrapText="1"/>
    </xf>
    <xf numFmtId="0" fontId="9" fillId="9" borderId="0" xfId="0" applyFont="1" applyFill="1" applyAlignment="1">
      <alignment horizontal="left" vertical="top" wrapText="1"/>
    </xf>
    <xf numFmtId="0" fontId="9" fillId="0" borderId="0" xfId="0" applyFont="1" applyAlignment="1">
      <alignment horizontal="center" vertical="center" wrapText="1"/>
    </xf>
    <xf numFmtId="0" fontId="9" fillId="0" borderId="0" xfId="0" applyFont="1" applyAlignment="1">
      <alignment horizontal="left" vertical="top" wrapText="1"/>
    </xf>
    <xf numFmtId="0" fontId="9" fillId="9" borderId="8" xfId="0" applyFont="1" applyFill="1" applyBorder="1" applyAlignment="1">
      <alignment horizontal="left" vertical="top" wrapText="1"/>
    </xf>
    <xf numFmtId="0" fontId="9" fillId="0" borderId="8" xfId="0" applyFont="1" applyBorder="1" applyAlignment="1">
      <alignment horizontal="center" vertical="center" wrapText="1"/>
    </xf>
    <xf numFmtId="0" fontId="9" fillId="0" borderId="8" xfId="0" applyFont="1" applyBorder="1" applyAlignment="1">
      <alignment horizontal="left" vertical="top" wrapText="1"/>
    </xf>
    <xf numFmtId="0" fontId="5" fillId="7" borderId="5" xfId="0" applyFont="1" applyFill="1" applyBorder="1" applyAlignment="1">
      <alignment horizontal="center" vertical="top" wrapText="1"/>
    </xf>
    <xf numFmtId="0" fontId="5" fillId="7" borderId="6" xfId="0" applyFont="1" applyFill="1" applyBorder="1" applyAlignment="1">
      <alignment horizontal="center" vertical="center" wrapText="1"/>
    </xf>
    <xf numFmtId="0" fontId="6" fillId="5" borderId="8" xfId="0" applyFont="1" applyFill="1" applyBorder="1" applyAlignment="1">
      <alignment horizontal="center" vertical="top"/>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10" fillId="7" borderId="7" xfId="0" applyFont="1" applyFill="1" applyBorder="1" applyAlignment="1">
      <alignment horizontal="left" vertical="top" wrapText="1"/>
    </xf>
    <xf numFmtId="0" fontId="10" fillId="7" borderId="8" xfId="0" applyFont="1" applyFill="1" applyBorder="1" applyAlignment="1">
      <alignment horizontal="center" vertical="top"/>
    </xf>
    <xf numFmtId="0" fontId="10" fillId="7" borderId="8" xfId="0" applyFont="1" applyFill="1" applyBorder="1" applyAlignment="1">
      <alignment horizontal="left" vertical="top" wrapText="1"/>
    </xf>
    <xf numFmtId="0" fontId="10" fillId="7" borderId="8" xfId="0" applyFont="1" applyFill="1" applyBorder="1" applyAlignment="1">
      <alignment horizontal="center" vertical="top" wrapText="1"/>
    </xf>
    <xf numFmtId="0" fontId="10" fillId="7" borderId="8" xfId="0" applyFont="1" applyFill="1" applyBorder="1" applyAlignment="1">
      <alignment horizontal="left" vertical="top"/>
    </xf>
    <xf numFmtId="0" fontId="10" fillId="7" borderId="9" xfId="0" applyFont="1" applyFill="1" applyBorder="1" applyAlignment="1">
      <alignment horizontal="center" vertical="top"/>
    </xf>
    <xf numFmtId="0" fontId="11" fillId="5" borderId="4" xfId="0" applyFont="1" applyFill="1" applyBorder="1" applyAlignment="1">
      <alignment horizontal="left" vertical="top" wrapText="1"/>
    </xf>
    <xf numFmtId="0" fontId="11" fillId="5" borderId="5" xfId="0" applyFont="1" applyFill="1" applyBorder="1" applyAlignment="1">
      <alignment horizontal="center" vertical="top"/>
    </xf>
    <xf numFmtId="0" fontId="11" fillId="5" borderId="5" xfId="0" applyFont="1" applyFill="1" applyBorder="1" applyAlignment="1">
      <alignment horizontal="left" vertical="top" wrapText="1"/>
    </xf>
    <xf numFmtId="0" fontId="11" fillId="5" borderId="5" xfId="0" applyFont="1" applyFill="1" applyBorder="1" applyAlignment="1">
      <alignment horizontal="left" vertical="top"/>
    </xf>
    <xf numFmtId="0" fontId="11" fillId="5" borderId="6" xfId="0" applyFont="1" applyFill="1" applyBorder="1" applyAlignment="1">
      <alignment horizontal="center" vertical="top"/>
    </xf>
    <xf numFmtId="0" fontId="11" fillId="5" borderId="7" xfId="0" applyFont="1" applyFill="1" applyBorder="1" applyAlignment="1">
      <alignment horizontal="left" vertical="top" wrapText="1"/>
    </xf>
    <xf numFmtId="0" fontId="11" fillId="5" borderId="8" xfId="0" applyFont="1" applyFill="1" applyBorder="1" applyAlignment="1">
      <alignment horizontal="center" vertical="top"/>
    </xf>
    <xf numFmtId="0" fontId="11" fillId="5" borderId="8" xfId="0" applyFont="1" applyFill="1" applyBorder="1" applyAlignment="1">
      <alignment horizontal="left" vertical="top" wrapText="1"/>
    </xf>
    <xf numFmtId="0" fontId="11" fillId="5" borderId="8" xfId="0" applyFont="1" applyFill="1" applyBorder="1" applyAlignment="1">
      <alignment horizontal="left" vertical="top"/>
    </xf>
    <xf numFmtId="0" fontId="11" fillId="5" borderId="9" xfId="0" applyFont="1" applyFill="1" applyBorder="1" applyAlignment="1">
      <alignment horizontal="center" vertical="top"/>
    </xf>
    <xf numFmtId="0" fontId="12" fillId="7" borderId="7" xfId="0" applyFont="1" applyFill="1" applyBorder="1" applyAlignment="1">
      <alignment horizontal="left" vertical="top" wrapText="1"/>
    </xf>
    <xf numFmtId="0" fontId="12" fillId="7" borderId="8" xfId="0" applyFont="1" applyFill="1" applyBorder="1" applyAlignment="1">
      <alignment horizontal="center" vertical="top"/>
    </xf>
    <xf numFmtId="0" fontId="12" fillId="7" borderId="8" xfId="0" applyFont="1" applyFill="1" applyBorder="1" applyAlignment="1">
      <alignment horizontal="left" vertical="top" wrapText="1"/>
    </xf>
    <xf numFmtId="0" fontId="12" fillId="7" borderId="8" xfId="0" applyFont="1" applyFill="1" applyBorder="1" applyAlignment="1">
      <alignment horizontal="center" vertical="top" wrapText="1"/>
    </xf>
    <xf numFmtId="0" fontId="12" fillId="7" borderId="8" xfId="0" applyFont="1" applyFill="1" applyBorder="1" applyAlignment="1">
      <alignment horizontal="left" vertical="top"/>
    </xf>
    <xf numFmtId="0" fontId="12" fillId="7" borderId="9" xfId="0" applyFont="1" applyFill="1" applyBorder="1" applyAlignment="1">
      <alignment horizontal="center" vertical="top"/>
    </xf>
    <xf numFmtId="0" fontId="13" fillId="5" borderId="4" xfId="0" applyFont="1" applyFill="1" applyBorder="1" applyAlignment="1">
      <alignment horizontal="left" vertical="top" wrapText="1"/>
    </xf>
    <xf numFmtId="0" fontId="13" fillId="5" borderId="5" xfId="0" applyFont="1" applyFill="1" applyBorder="1" applyAlignment="1">
      <alignment horizontal="center" vertical="top"/>
    </xf>
    <xf numFmtId="0" fontId="13" fillId="5" borderId="5" xfId="0" applyFont="1" applyFill="1" applyBorder="1" applyAlignment="1">
      <alignment horizontal="left" vertical="top" wrapText="1"/>
    </xf>
    <xf numFmtId="0" fontId="13" fillId="5" borderId="5" xfId="0" applyFont="1" applyFill="1" applyBorder="1" applyAlignment="1">
      <alignment horizontal="left" vertical="top"/>
    </xf>
    <xf numFmtId="0" fontId="13" fillId="5" borderId="6" xfId="0" applyFont="1" applyFill="1" applyBorder="1" applyAlignment="1">
      <alignment horizontal="center" vertical="top"/>
    </xf>
    <xf numFmtId="0" fontId="13" fillId="5" borderId="7" xfId="0" applyFont="1" applyFill="1" applyBorder="1" applyAlignment="1">
      <alignment horizontal="left" vertical="top" wrapText="1"/>
    </xf>
    <xf numFmtId="0" fontId="13" fillId="5" borderId="8" xfId="0" applyFont="1" applyFill="1" applyBorder="1" applyAlignment="1">
      <alignment horizontal="center" vertical="top"/>
    </xf>
    <xf numFmtId="0" fontId="13" fillId="5" borderId="8" xfId="0" applyFont="1" applyFill="1" applyBorder="1" applyAlignment="1">
      <alignment horizontal="left" vertical="top" wrapText="1"/>
    </xf>
    <xf numFmtId="0" fontId="13" fillId="5" borderId="8" xfId="0" applyFont="1" applyFill="1" applyBorder="1" applyAlignment="1">
      <alignment horizontal="left" vertical="top"/>
    </xf>
    <xf numFmtId="0" fontId="13" fillId="5" borderId="9" xfId="0" applyFont="1" applyFill="1" applyBorder="1" applyAlignment="1">
      <alignment horizontal="center" vertical="top"/>
    </xf>
    <xf numFmtId="0" fontId="12" fillId="8" borderId="7" xfId="0" applyFont="1" applyFill="1" applyBorder="1" applyAlignment="1">
      <alignment horizontal="left" vertical="top" wrapText="1"/>
    </xf>
    <xf numFmtId="0" fontId="12" fillId="8" borderId="8" xfId="0" applyFont="1" applyFill="1" applyBorder="1" applyAlignment="1">
      <alignment horizontal="center" vertical="top"/>
    </xf>
    <xf numFmtId="0" fontId="10" fillId="8" borderId="8" xfId="0" applyFont="1" applyFill="1" applyBorder="1" applyAlignment="1">
      <alignment horizontal="left" vertical="top" wrapText="1"/>
    </xf>
    <xf numFmtId="0" fontId="12" fillId="8" borderId="8" xfId="0" applyFont="1" applyFill="1" applyBorder="1" applyAlignment="1">
      <alignment horizontal="left" vertical="top" wrapText="1"/>
    </xf>
    <xf numFmtId="0" fontId="10" fillId="8" borderId="8" xfId="0" applyFont="1" applyFill="1" applyBorder="1" applyAlignment="1">
      <alignment horizontal="center" vertical="top" wrapText="1"/>
    </xf>
    <xf numFmtId="0" fontId="12" fillId="8" borderId="8" xfId="0" applyFont="1" applyFill="1" applyBorder="1" applyAlignment="1">
      <alignment horizontal="left" vertical="top"/>
    </xf>
    <xf numFmtId="0" fontId="12" fillId="8" borderId="9" xfId="0" applyFont="1" applyFill="1" applyBorder="1" applyAlignment="1">
      <alignment horizontal="center" vertical="top"/>
    </xf>
    <xf numFmtId="0" fontId="13" fillId="5" borderId="5" xfId="0" applyFont="1" applyFill="1" applyBorder="1" applyAlignment="1">
      <alignment horizontal="center" vertical="top" wrapText="1"/>
    </xf>
    <xf numFmtId="0" fontId="13" fillId="5" borderId="8" xfId="0" applyFont="1" applyFill="1" applyBorder="1" applyAlignment="1">
      <alignment horizontal="center" vertical="top" wrapText="1"/>
    </xf>
    <xf numFmtId="0" fontId="11" fillId="5" borderId="5" xfId="0" applyFont="1" applyFill="1" applyBorder="1" applyAlignment="1">
      <alignment horizontal="center" vertical="top" wrapText="1"/>
    </xf>
    <xf numFmtId="0" fontId="11" fillId="5" borderId="8" xfId="0" applyFont="1" applyFill="1" applyBorder="1" applyAlignment="1">
      <alignment horizontal="center" vertical="top"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vertical="center"/>
    </xf>
    <xf numFmtId="165" fontId="0" fillId="0" borderId="0" xfId="14" applyNumberFormat="1" applyFont="1" applyBorder="1" applyAlignment="1">
      <alignment horizontal="center" vertical="center"/>
    </xf>
    <xf numFmtId="0" fontId="24" fillId="5" borderId="5" xfId="0" applyFont="1" applyFill="1" applyBorder="1" applyAlignment="1">
      <alignment horizontal="left" vertical="top" wrapText="1"/>
    </xf>
    <xf numFmtId="0" fontId="26" fillId="10" borderId="0" xfId="0" applyFont="1" applyFill="1"/>
    <xf numFmtId="0" fontId="26" fillId="10" borderId="0" xfId="0" applyFont="1" applyFill="1" applyAlignment="1">
      <alignment vertical="center"/>
    </xf>
    <xf numFmtId="0" fontId="27" fillId="0" borderId="0" xfId="0" applyFont="1" applyAlignment="1">
      <alignment vertical="center"/>
    </xf>
    <xf numFmtId="0" fontId="27" fillId="0" borderId="0" xfId="0" applyFont="1"/>
    <xf numFmtId="0" fontId="27" fillId="0" borderId="0" xfId="0" applyFont="1" applyAlignment="1">
      <alignment vertical="top"/>
    </xf>
    <xf numFmtId="0" fontId="27" fillId="0" borderId="0" xfId="0" applyFont="1" applyAlignment="1">
      <alignment horizontal="left"/>
    </xf>
    <xf numFmtId="0" fontId="0" fillId="11" borderId="0" xfId="0" applyFill="1"/>
    <xf numFmtId="0" fontId="27" fillId="11" borderId="0" xfId="0" applyFont="1" applyFill="1" applyAlignment="1">
      <alignment vertical="center"/>
    </xf>
    <xf numFmtId="0" fontId="14" fillId="7" borderId="5" xfId="0" applyFont="1" applyFill="1" applyBorder="1" applyAlignment="1">
      <alignment horizontal="center" vertical="top"/>
    </xf>
    <xf numFmtId="0" fontId="14" fillId="7" borderId="5" xfId="0" applyFont="1" applyFill="1" applyBorder="1" applyAlignment="1">
      <alignment horizontal="center" vertical="center"/>
    </xf>
    <xf numFmtId="0" fontId="28" fillId="0" borderId="0" xfId="0" applyFont="1" applyAlignment="1">
      <alignment horizontal="center" vertical="center"/>
    </xf>
    <xf numFmtId="0" fontId="14" fillId="7" borderId="8" xfId="0" applyFont="1" applyFill="1" applyBorder="1" applyAlignment="1">
      <alignment horizontal="center" vertical="top" wrapText="1"/>
    </xf>
    <xf numFmtId="0" fontId="28" fillId="0" borderId="0" xfId="0" applyFont="1" applyAlignment="1">
      <alignment vertical="center"/>
    </xf>
    <xf numFmtId="0" fontId="29" fillId="7" borderId="8" xfId="15" applyFill="1" applyBorder="1" applyAlignment="1">
      <alignment horizontal="left" vertical="top" wrapText="1"/>
    </xf>
    <xf numFmtId="0" fontId="6" fillId="4" borderId="0" xfId="0" applyFont="1" applyFill="1" applyAlignment="1">
      <alignment horizontal="center" vertical="center" wrapText="1"/>
    </xf>
    <xf numFmtId="0" fontId="4" fillId="4" borderId="0" xfId="0" applyFont="1" applyFill="1" applyAlignment="1">
      <alignment horizontal="center" vertical="center" wrapText="1"/>
    </xf>
    <xf numFmtId="0" fontId="0" fillId="0" borderId="0" xfId="0" applyAlignment="1">
      <alignment horizontal="left" vertical="center" wrapText="1"/>
    </xf>
    <xf numFmtId="0" fontId="17" fillId="0" borderId="0" xfId="0" applyFont="1" applyAlignment="1">
      <alignment horizontal="left" vertical="center" wrapText="1"/>
    </xf>
    <xf numFmtId="0" fontId="29" fillId="7" borderId="5" xfId="15" applyFill="1" applyBorder="1" applyAlignment="1">
      <alignment horizontal="left" vertical="center" wrapText="1"/>
    </xf>
    <xf numFmtId="0" fontId="29" fillId="5" borderId="8" xfId="15" applyFill="1" applyBorder="1" applyAlignment="1">
      <alignment horizontal="left" vertical="center" wrapText="1"/>
    </xf>
    <xf numFmtId="0" fontId="11" fillId="5" borderId="5" xfId="0" applyFont="1" applyFill="1" applyBorder="1" applyAlignment="1">
      <alignment horizontal="left" vertical="center" wrapText="1"/>
    </xf>
    <xf numFmtId="0" fontId="13" fillId="5" borderId="5" xfId="0" applyFont="1" applyFill="1" applyBorder="1" applyAlignment="1">
      <alignment horizontal="left" vertical="center" wrapText="1"/>
    </xf>
    <xf numFmtId="0" fontId="30" fillId="0" borderId="0" xfId="0" applyFont="1" applyAlignment="1">
      <alignment horizontal="left" vertical="top" wrapText="1"/>
    </xf>
    <xf numFmtId="0" fontId="0" fillId="0" borderId="0" xfId="0" applyAlignment="1">
      <alignment horizontal="left"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0" xfId="0" applyFont="1" applyFill="1" applyAlignment="1">
      <alignment horizontal="center" vertical="center"/>
    </xf>
    <xf numFmtId="0" fontId="3" fillId="3" borderId="1" xfId="0" applyFont="1" applyFill="1" applyBorder="1" applyAlignment="1">
      <alignment horizontal="center" vertical="center"/>
    </xf>
    <xf numFmtId="0" fontId="3" fillId="3" borderId="0" xfId="0" applyFont="1" applyFill="1" applyAlignment="1">
      <alignment horizontal="center" vertical="center" wrapText="1"/>
    </xf>
  </cellXfs>
  <cellStyles count="16">
    <cellStyle name="Hiperlink" xfId="15" builtinId="8"/>
    <cellStyle name="Hiperlink 2" xfId="2" xr:uid="{00000000-0005-0000-0000-000000000000}"/>
    <cellStyle name="Moeda 2" xfId="4" xr:uid="{00000000-0005-0000-0000-000001000000}"/>
    <cellStyle name="Moeda 3" xfId="3" xr:uid="{00000000-0005-0000-0000-000002000000}"/>
    <cellStyle name="Normal" xfId="0" builtinId="0"/>
    <cellStyle name="Normal 2" xfId="5" xr:uid="{00000000-0005-0000-0000-000004000000}"/>
    <cellStyle name="Normal 2 2" xfId="13" xr:uid="{00000000-0005-0000-0000-000005000000}"/>
    <cellStyle name="Normal 3" xfId="1" xr:uid="{00000000-0005-0000-0000-000006000000}"/>
    <cellStyle name="Normal 4" xfId="12" xr:uid="{00000000-0005-0000-0000-000007000000}"/>
    <cellStyle name="Porcentagem 2" xfId="7" xr:uid="{00000000-0005-0000-0000-000008000000}"/>
    <cellStyle name="Porcentagem 3" xfId="6" xr:uid="{00000000-0005-0000-0000-000009000000}"/>
    <cellStyle name="Separador de milhares 2" xfId="8" xr:uid="{00000000-0005-0000-0000-00000A000000}"/>
    <cellStyle name="Vírgula" xfId="14" builtinId="3"/>
    <cellStyle name="Vírgula 2" xfId="10" xr:uid="{00000000-0005-0000-0000-00000C000000}"/>
    <cellStyle name="Vírgula 3" xfId="11" xr:uid="{00000000-0005-0000-0000-00000D000000}"/>
    <cellStyle name="Vírgula 4" xfId="9" xr:uid="{00000000-0005-0000-0000-00000E000000}"/>
  </cellStyles>
  <dxfs count="0"/>
  <tableStyles count="0" defaultTableStyle="TableStyleMedium2" defaultPivotStyle="PivotStyleLight16"/>
  <colors>
    <mruColors>
      <color rgb="FFFEF4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gov.br/previc/pt-br/publicacoes/informe-estatistico-trimestral%20%20%20%20%20%20%20%20%20%20%20%20%20%20%20%20%20%20%20%20%20%20%20%20%20%20%20%20%20%20%20%20%20%20%20%20%20%20%20De%201&#186;%20tri%20a%204&#186;%20tri%20de%202011:%20Tabela%201.2.7;%20Linha%20%221.%20PROVIS&#213;ES%20MATEM&#193;TICAS%22;%20coluna%20do%20respectivo%20trimestre;De%201&#186;%20tri%20de%202012%20at&#233;%204&#186;%20tri%20de%202016;%20Tabela%201.2.7;%20Linha%20%221.%20PROVIS&#213;ES%20MATEM&#193;TICAS%22;%20Coluna%20do%20respectivo%20trimestre;De%201&#186;%20tri%20de%202017%20at&#233;%201&#186;%20tri%20de%202019;%20Tabela%201.2.8.;%20Linha%20%221.%20PROVIS&#213;ES%20MATEM&#193;TICAS%22;%20Coluna%20do%20respectivo%20trimestre.De%202&#186;%20tri%20de%202019%20em%20diante;%20Tabela%201.2.7;%20Linha%20%221.%20PROVIS&#213;ES%20MATEM&#193;TICAS%22;%20Coluna%20do%20respectivo%20trimestre" TargetMode="External"/><Relationship Id="rId7" Type="http://schemas.openxmlformats.org/officeDocument/2006/relationships/vmlDrawing" Target="../drawings/vmlDrawing1.vml"/><Relationship Id="rId2" Type="http://schemas.openxmlformats.org/officeDocument/2006/relationships/hyperlink" Target="https://www.gov.br/previc/pt-br/publicacoes/informe-estatistico-trimestral%20%20%20%20%20%20%20%20%20%20%20%20%20%20%20%20%20%20%20%20%20%20%20%20%20%20%20%20%20%20%20%20%20%20%20%20%20%20%20%20%20%20%20%20%20De%201&#186;%20tri%20de%202007%20a%204&#186;%20tri%20de%202008:%20Tabela%208;%20Linha%20%22Total%22;%20coluna%20%22Ativo%20Total%20(R$)%22;De%201&#186;%20tri%20de%202009%20a%204&#186;%20tri%20de%202010:%20Tabela%201.2.1;%20Linha%20%22Total%22;%20coluna%20%22Ativo%20Total%20(R$)%22;De%201&#186;%20tri%20a%204&#186;%20tri%20de%202011:%20Tabela%201.2.1;%20linha%20%22Total%22;%20coluna%20do%20respectivo%20trimestre;De%201&#186;%20tri%20de%202012%20a%204&#186;%20tri%20de%202016;%20Tabela%201.2.1;%20Linha%20%22Total%22;%20Colunado%20respectivo%20trimestre;De%201&#186;%20tri%20de%202017%20a%201&#186;%20tri%20de%202019;%20Tabela%201.2.2.;%20Linha%20%22Total%22;%20Coluna%20do%20respectivo%20trimestre;De%202&#186;%20tri%20de%202017%20em%20diante;%20Tabela%201.2.1.;%20Linha%20%22Total%22;%20Coluna%20do%20respectivo%20trimestre." TargetMode="External"/><Relationship Id="rId1" Type="http://schemas.openxmlformats.org/officeDocument/2006/relationships/hyperlink" Target="https://www.gov.br/ans/pt-br/acesso-a-informacao/perfil-do-setor/dados-e-indicadores-do-setor" TargetMode="External"/><Relationship Id="rId6" Type="http://schemas.openxmlformats.org/officeDocument/2006/relationships/printerSettings" Target="../printerSettings/printerSettings1.bin"/><Relationship Id="rId5" Type="http://schemas.openxmlformats.org/officeDocument/2006/relationships/hyperlink" Target="https://www.gov.br/previc/pt-br/publicacoes/informe-estatistico-trimestral%20%20%20%20%20%20%20%20%20%20%20%20%20%20%20%20%20%20%20%20%20%20%20%20%20%20%20%20%20%20%20De%201&#186;tri%202007%20a%204&#186;tri%20de%202008:%20Tabela%2012;%20Linha%20%22Despesas%22;%20Coluna%20%22Total%20Valor%20(R$)%22%20ou%20%22Total%22;De%201&#186;tri%20a%204&#186;tri%20de%202009:%20Tabela%201.2.4;%20Linha%20%22Despesas%22;%20coluna%20%22Total%22;De%201&#186;tri%20a%204&#186;tri%20de%202010:%20Tabela%201.2.5;%20Linha%20%22Despesas%22;%20coluna%20%22Total%22;De%201&#186;%20tri%20a%203&#186;%20tri%20de%202011:%20Gr&#225;fico%201.2.12.;%20R&#243;tulos%20das%20barras%20do%20gr&#225;fico%20dos%20respectivos%20trimestres4&#186;%20tri%20de%202011:%20Tabela%201.2.14;%20Linha%20%22TOTAL%20DESPESAS%20ADMINISTRATIVAS%22/%22Despesas%20Administrativas%22;%20coluna%20%22Total%22;De%201&#186;%20tri%20de%202012%20a%201&#186;%20tri%20de%202017:%20Tabela%201.2.14;%20Linha%20%22TOTAL%20DESPESAS%20ADMINISTRATIVAS%22/%22Despesas%20Administrativas%22;%20coluna%20%22Total%22;De%202&#186;%20tri%20de%202017%20a%201&#186;%20tri%20de%202019:%20Tabela%201.2.15;%20Linha%20%22TOTAL%20DESPESAS%20ADMINISTRATIVAS%22/%22Despesas%20Administrativas%22;%20coluna%20%22Total%22;De%202&#186;%20tri%20de%202019%20em%20diante:%20Tabela%201.2.14;%20Linha%20%22Total%20de%20despesas%20administrativas%20das%20EFPC%22/%22Despesas%20Administrativas%22;%20coluna%20%22Total%22." TargetMode="External"/><Relationship Id="rId4" Type="http://schemas.openxmlformats.org/officeDocument/2006/relationships/hyperlink" Target="https://www.gov.br/previc/pt-br/publicacoes/informe-estatistico-trimestral%20%20%20%20%20%20%20%20%20%20%20%20%20%20%20%20%20%20%20%20%20%20%20%20%20%20%20%20%20%20%20%20%20%20%20%20%20De%201&#186;tri%20de%202007%20a%204&#186;tri%20de%202008:%20Tabela%2010;%20Linha%20%22Recursos%20coletados%22;%20coluna%20%22Total%22;De%201&#186;tri%202009%20a%204&#186;tri%20de%202010:%20Tabela%201.2.6.;%20Linha%20%22Recursos%20coletados%22;%20coluna%20%22Total%22;(*)De%201&#186;tri%20a%204&#186;%20tri%20de%202011:%20Tabela%201.2.12;%20Linha%20%22Total%20adi&#231;&#245;es%22;%20coluna%20do%20respectivo%20trimestre;De%201&#186;tri%20de%202012%20em%20diante;%20Tabela%201.2.12;%20Linha%20%22Total%20adi&#231;&#245;es%22;%20Coluna%20do%20respectivo%20trimestr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297"/>
  <sheetViews>
    <sheetView tabSelected="1" zoomScaleNormal="100" workbookViewId="0">
      <pane ySplit="1" topLeftCell="A2" activePane="bottomLeft" state="frozen"/>
      <selection pane="bottomLeft"/>
    </sheetView>
  </sheetViews>
  <sheetFormatPr defaultColWidth="24.15234375" defaultRowHeight="36" customHeight="1" outlineLevelRow="2" x14ac:dyDescent="0.4"/>
  <cols>
    <col min="1" max="1" width="24.15234375" style="46"/>
    <col min="2" max="2" width="24.15234375" style="269" customWidth="1"/>
    <col min="3" max="3" width="24.15234375" style="46" customWidth="1"/>
    <col min="4" max="6" width="24.15234375" style="32" customWidth="1"/>
    <col min="7" max="7" width="33" style="32" bestFit="1" customWidth="1"/>
    <col min="8" max="8" width="50.4609375" style="290" customWidth="1"/>
    <col min="9" max="9" width="35.53515625" style="270" customWidth="1"/>
    <col min="10" max="16384" width="24.15234375" style="32"/>
  </cols>
  <sheetData>
    <row r="1" spans="1:11" s="23" customFormat="1" ht="36" customHeight="1" thickBot="1" x14ac:dyDescent="0.45">
      <c r="A1" s="18" t="s">
        <v>477</v>
      </c>
      <c r="B1" s="19" t="s">
        <v>478</v>
      </c>
      <c r="C1" s="19" t="s">
        <v>0</v>
      </c>
      <c r="D1" s="20" t="s">
        <v>1</v>
      </c>
      <c r="E1" s="19" t="s">
        <v>400</v>
      </c>
      <c r="F1" s="20" t="s">
        <v>404</v>
      </c>
      <c r="G1" s="21" t="s">
        <v>6</v>
      </c>
      <c r="H1" s="19" t="s">
        <v>7</v>
      </c>
      <c r="I1" s="19" t="s">
        <v>106</v>
      </c>
      <c r="J1" s="19" t="s">
        <v>479</v>
      </c>
      <c r="K1" s="22" t="s">
        <v>66</v>
      </c>
    </row>
    <row r="2" spans="1:11" ht="36" customHeight="1" thickBot="1" x14ac:dyDescent="0.45">
      <c r="A2" s="24" t="s">
        <v>99</v>
      </c>
      <c r="B2" s="25" t="s">
        <v>21</v>
      </c>
      <c r="C2" s="26" t="s">
        <v>480</v>
      </c>
      <c r="D2" s="27"/>
      <c r="E2" s="28" t="s">
        <v>401</v>
      </c>
      <c r="F2" s="29"/>
      <c r="G2" s="30"/>
      <c r="H2" s="26"/>
      <c r="I2" s="26"/>
      <c r="J2" s="27"/>
      <c r="K2" s="31"/>
    </row>
    <row r="3" spans="1:11" ht="36" customHeight="1" outlineLevel="1" thickBot="1" x14ac:dyDescent="0.45">
      <c r="A3" s="33" t="s">
        <v>190</v>
      </c>
      <c r="B3" s="34" t="s">
        <v>22</v>
      </c>
      <c r="C3" s="35" t="s">
        <v>191</v>
      </c>
      <c r="D3" s="36"/>
      <c r="E3" s="37" t="s">
        <v>22</v>
      </c>
      <c r="F3" s="38"/>
      <c r="G3" s="39"/>
      <c r="H3" s="36"/>
      <c r="I3" s="35"/>
      <c r="J3" s="36"/>
      <c r="K3" s="40"/>
    </row>
    <row r="4" spans="1:11" ht="81.75" customHeight="1" outlineLevel="2" x14ac:dyDescent="0.4">
      <c r="A4" s="41" t="s">
        <v>111</v>
      </c>
      <c r="B4" s="42" t="s">
        <v>22</v>
      </c>
      <c r="C4" s="43"/>
      <c r="D4" s="17" t="s">
        <v>70</v>
      </c>
      <c r="E4" s="44" t="s">
        <v>22</v>
      </c>
      <c r="F4" s="16">
        <v>1</v>
      </c>
      <c r="G4" s="45" t="s">
        <v>8</v>
      </c>
      <c r="H4" s="290" t="s">
        <v>1052</v>
      </c>
      <c r="I4" s="43" t="s">
        <v>108</v>
      </c>
      <c r="J4" s="17" t="s">
        <v>63</v>
      </c>
      <c r="K4" s="47" t="s">
        <v>67</v>
      </c>
    </row>
    <row r="5" spans="1:11" ht="104.25" customHeight="1" outlineLevel="2" x14ac:dyDescent="0.4">
      <c r="A5" s="41" t="s">
        <v>60</v>
      </c>
      <c r="B5" s="42" t="s">
        <v>22</v>
      </c>
      <c r="C5" s="43"/>
      <c r="D5" s="17" t="s">
        <v>71</v>
      </c>
      <c r="E5" s="44" t="s">
        <v>22</v>
      </c>
      <c r="F5" s="16">
        <v>1</v>
      </c>
      <c r="G5" s="45" t="s">
        <v>8</v>
      </c>
      <c r="H5" s="290" t="s">
        <v>1053</v>
      </c>
      <c r="I5" s="43" t="s">
        <v>108</v>
      </c>
      <c r="J5" s="17" t="s">
        <v>63</v>
      </c>
      <c r="K5" s="47" t="s">
        <v>67</v>
      </c>
    </row>
    <row r="6" spans="1:11" ht="56.25" customHeight="1" outlineLevel="2" thickBot="1" x14ac:dyDescent="0.45">
      <c r="A6" s="48" t="s">
        <v>65</v>
      </c>
      <c r="B6" s="49" t="s">
        <v>22</v>
      </c>
      <c r="C6" s="50"/>
      <c r="D6" s="51" t="s">
        <v>72</v>
      </c>
      <c r="E6" s="52" t="s">
        <v>22</v>
      </c>
      <c r="F6" s="53">
        <v>1</v>
      </c>
      <c r="G6" s="54" t="s">
        <v>8</v>
      </c>
      <c r="H6" s="51" t="s">
        <v>158</v>
      </c>
      <c r="I6" s="50" t="s">
        <v>108</v>
      </c>
      <c r="J6" s="51" t="s">
        <v>63</v>
      </c>
      <c r="K6" s="55" t="s">
        <v>67</v>
      </c>
    </row>
    <row r="7" spans="1:11" ht="36" customHeight="1" outlineLevel="1" thickBot="1" x14ac:dyDescent="0.45">
      <c r="A7" s="56" t="s">
        <v>246</v>
      </c>
      <c r="B7" s="57" t="s">
        <v>23</v>
      </c>
      <c r="C7" s="58" t="s">
        <v>179</v>
      </c>
      <c r="D7" s="59"/>
      <c r="E7" s="60" t="s">
        <v>23</v>
      </c>
      <c r="F7" s="61"/>
      <c r="G7" s="62"/>
      <c r="H7" s="63"/>
      <c r="I7" s="63"/>
      <c r="J7" s="59"/>
      <c r="K7" s="64"/>
    </row>
    <row r="8" spans="1:11" ht="89.25" customHeight="1" outlineLevel="2" x14ac:dyDescent="0.4">
      <c r="A8" s="65" t="s">
        <v>112</v>
      </c>
      <c r="B8" s="66" t="s">
        <v>23</v>
      </c>
      <c r="C8" s="67" t="s">
        <v>4</v>
      </c>
      <c r="D8" s="68" t="s">
        <v>81</v>
      </c>
      <c r="E8" s="69" t="s">
        <v>23</v>
      </c>
      <c r="F8" s="70">
        <v>3</v>
      </c>
      <c r="G8" s="71" t="s">
        <v>210</v>
      </c>
      <c r="H8" s="67" t="s">
        <v>411</v>
      </c>
      <c r="I8" s="67"/>
      <c r="J8" s="68" t="s">
        <v>63</v>
      </c>
      <c r="K8" s="72"/>
    </row>
    <row r="9" spans="1:11" ht="36" customHeight="1" outlineLevel="2" x14ac:dyDescent="0.4">
      <c r="A9" s="65" t="s">
        <v>113</v>
      </c>
      <c r="B9" s="66" t="s">
        <v>23</v>
      </c>
      <c r="C9" s="67" t="s">
        <v>96</v>
      </c>
      <c r="D9" s="68" t="s">
        <v>5</v>
      </c>
      <c r="E9" s="69" t="s">
        <v>23</v>
      </c>
      <c r="F9" s="70">
        <v>3</v>
      </c>
      <c r="G9" s="71" t="s">
        <v>1094</v>
      </c>
      <c r="H9" s="67" t="s">
        <v>1093</v>
      </c>
      <c r="I9" s="67" t="s">
        <v>108</v>
      </c>
      <c r="J9" s="68" t="s">
        <v>63</v>
      </c>
      <c r="K9" s="72"/>
    </row>
    <row r="10" spans="1:11" ht="36" customHeight="1" outlineLevel="2" x14ac:dyDescent="0.4">
      <c r="A10" s="41" t="s">
        <v>114</v>
      </c>
      <c r="B10" s="42" t="s">
        <v>23</v>
      </c>
      <c r="C10" s="43" t="s">
        <v>50</v>
      </c>
      <c r="D10" s="17" t="s">
        <v>74</v>
      </c>
      <c r="E10" s="44" t="s">
        <v>23</v>
      </c>
      <c r="F10" s="16">
        <v>3</v>
      </c>
      <c r="G10" s="17" t="s">
        <v>1082</v>
      </c>
      <c r="H10" s="43" t="s">
        <v>1081</v>
      </c>
      <c r="I10" s="43"/>
      <c r="J10" s="17" t="s">
        <v>63</v>
      </c>
      <c r="K10" s="47"/>
    </row>
    <row r="11" spans="1:11" ht="36" customHeight="1" outlineLevel="2" thickBot="1" x14ac:dyDescent="0.45">
      <c r="A11" s="48" t="s">
        <v>68</v>
      </c>
      <c r="B11" s="49" t="s">
        <v>23</v>
      </c>
      <c r="C11" s="50"/>
      <c r="D11" s="51" t="s">
        <v>73</v>
      </c>
      <c r="E11" s="52" t="s">
        <v>23</v>
      </c>
      <c r="F11" s="53">
        <v>3</v>
      </c>
      <c r="G11" s="54" t="s">
        <v>1083</v>
      </c>
      <c r="H11" s="50" t="s">
        <v>1084</v>
      </c>
      <c r="I11" s="50"/>
      <c r="J11" s="51" t="s">
        <v>63</v>
      </c>
      <c r="K11" s="55"/>
    </row>
    <row r="12" spans="1:11" ht="36" customHeight="1" thickBot="1" x14ac:dyDescent="0.45">
      <c r="A12" s="24" t="s">
        <v>241</v>
      </c>
      <c r="B12" s="25" t="s">
        <v>21</v>
      </c>
      <c r="C12" s="26" t="s">
        <v>481</v>
      </c>
      <c r="D12" s="27"/>
      <c r="E12" s="28" t="s">
        <v>401</v>
      </c>
      <c r="F12" s="29"/>
      <c r="G12" s="30"/>
      <c r="H12" s="26"/>
      <c r="I12" s="26"/>
      <c r="J12" s="27"/>
      <c r="K12" s="31"/>
    </row>
    <row r="13" spans="1:11" ht="36" customHeight="1" outlineLevel="1" thickBot="1" x14ac:dyDescent="0.45">
      <c r="A13" s="33" t="s">
        <v>190</v>
      </c>
      <c r="B13" s="34" t="s">
        <v>22</v>
      </c>
      <c r="C13" s="35" t="s">
        <v>191</v>
      </c>
      <c r="D13" s="36"/>
      <c r="E13" s="37" t="s">
        <v>22</v>
      </c>
      <c r="F13" s="38">
        <v>1</v>
      </c>
      <c r="G13" s="39"/>
      <c r="H13" s="36"/>
      <c r="I13" s="35"/>
      <c r="J13" s="36"/>
      <c r="K13" s="40"/>
    </row>
    <row r="14" spans="1:11" ht="58.3" outlineLevel="2" x14ac:dyDescent="0.4">
      <c r="A14" s="41" t="s">
        <v>111</v>
      </c>
      <c r="B14" s="42" t="s">
        <v>22</v>
      </c>
      <c r="C14" s="43"/>
      <c r="D14" s="17" t="s">
        <v>70</v>
      </c>
      <c r="E14" s="44" t="s">
        <v>22</v>
      </c>
      <c r="F14" s="16">
        <v>1</v>
      </c>
      <c r="G14" s="45" t="s">
        <v>8</v>
      </c>
      <c r="H14" s="290" t="s">
        <v>1054</v>
      </c>
      <c r="I14" s="43" t="s">
        <v>108</v>
      </c>
      <c r="J14" s="17" t="s">
        <v>63</v>
      </c>
      <c r="K14" s="47" t="s">
        <v>67</v>
      </c>
    </row>
    <row r="15" spans="1:11" ht="104.25" customHeight="1" outlineLevel="2" x14ac:dyDescent="0.4">
      <c r="A15" s="41" t="s">
        <v>60</v>
      </c>
      <c r="B15" s="42" t="s">
        <v>22</v>
      </c>
      <c r="C15" s="43"/>
      <c r="D15" s="17" t="s">
        <v>71</v>
      </c>
      <c r="E15" s="44" t="s">
        <v>22</v>
      </c>
      <c r="F15" s="16">
        <v>1</v>
      </c>
      <c r="G15" s="45" t="s">
        <v>8</v>
      </c>
      <c r="H15" s="290" t="s">
        <v>1055</v>
      </c>
      <c r="I15" s="43" t="s">
        <v>108</v>
      </c>
      <c r="J15" s="17" t="s">
        <v>63</v>
      </c>
      <c r="K15" s="47" t="s">
        <v>67</v>
      </c>
    </row>
    <row r="16" spans="1:11" ht="36" customHeight="1" outlineLevel="2" thickBot="1" x14ac:dyDescent="0.45">
      <c r="A16" s="48" t="s">
        <v>65</v>
      </c>
      <c r="B16" s="49" t="s">
        <v>22</v>
      </c>
      <c r="C16" s="50"/>
      <c r="D16" s="51" t="s">
        <v>72</v>
      </c>
      <c r="E16" s="52" t="s">
        <v>22</v>
      </c>
      <c r="F16" s="53">
        <v>1</v>
      </c>
      <c r="G16" s="54" t="s">
        <v>8</v>
      </c>
      <c r="H16" s="51" t="s">
        <v>1056</v>
      </c>
      <c r="I16" s="50" t="s">
        <v>108</v>
      </c>
      <c r="J16" s="51" t="s">
        <v>63</v>
      </c>
      <c r="K16" s="55" t="s">
        <v>67</v>
      </c>
    </row>
    <row r="17" spans="1:11" ht="36" customHeight="1" outlineLevel="1" thickBot="1" x14ac:dyDescent="0.45">
      <c r="A17" s="56" t="s">
        <v>247</v>
      </c>
      <c r="B17" s="57" t="s">
        <v>23</v>
      </c>
      <c r="C17" s="58" t="s">
        <v>179</v>
      </c>
      <c r="D17" s="59"/>
      <c r="E17" s="60" t="s">
        <v>23</v>
      </c>
      <c r="F17" s="61">
        <v>3</v>
      </c>
      <c r="G17" s="62"/>
      <c r="H17" s="63"/>
      <c r="I17" s="63"/>
      <c r="J17" s="59"/>
      <c r="K17" s="64"/>
    </row>
    <row r="18" spans="1:11" ht="104.25" customHeight="1" outlineLevel="2" x14ac:dyDescent="0.4">
      <c r="A18" s="65" t="s">
        <v>112</v>
      </c>
      <c r="B18" s="66" t="s">
        <v>23</v>
      </c>
      <c r="C18" s="67" t="s">
        <v>4</v>
      </c>
      <c r="D18" s="68" t="s">
        <v>81</v>
      </c>
      <c r="E18" s="69" t="s">
        <v>23</v>
      </c>
      <c r="F18" s="70">
        <v>3</v>
      </c>
      <c r="G18" s="71" t="s">
        <v>210</v>
      </c>
      <c r="H18" s="67" t="s">
        <v>253</v>
      </c>
      <c r="I18" s="67"/>
      <c r="J18" s="68" t="s">
        <v>63</v>
      </c>
      <c r="K18" s="72"/>
    </row>
    <row r="19" spans="1:11" ht="36" customHeight="1" outlineLevel="2" x14ac:dyDescent="0.4">
      <c r="A19" s="65" t="s">
        <v>113</v>
      </c>
      <c r="B19" s="66" t="s">
        <v>23</v>
      </c>
      <c r="C19" s="67" t="s">
        <v>96</v>
      </c>
      <c r="D19" s="68" t="s">
        <v>5</v>
      </c>
      <c r="E19" s="69" t="s">
        <v>23</v>
      </c>
      <c r="F19" s="70">
        <v>3</v>
      </c>
      <c r="G19" s="71" t="s">
        <v>1094</v>
      </c>
      <c r="H19" s="67" t="s">
        <v>1093</v>
      </c>
      <c r="I19" s="67" t="s">
        <v>108</v>
      </c>
      <c r="J19" s="68" t="s">
        <v>63</v>
      </c>
      <c r="K19" s="72"/>
    </row>
    <row r="20" spans="1:11" ht="36" customHeight="1" outlineLevel="2" x14ac:dyDescent="0.4">
      <c r="A20" s="41" t="s">
        <v>114</v>
      </c>
      <c r="B20" s="42" t="s">
        <v>23</v>
      </c>
      <c r="C20" s="43" t="s">
        <v>50</v>
      </c>
      <c r="D20" s="17" t="s">
        <v>74</v>
      </c>
      <c r="E20" s="44" t="s">
        <v>23</v>
      </c>
      <c r="F20" s="16">
        <v>3</v>
      </c>
      <c r="G20" s="17" t="s">
        <v>1082</v>
      </c>
      <c r="H20" s="43" t="s">
        <v>1081</v>
      </c>
      <c r="I20" s="43"/>
      <c r="J20" s="17" t="s">
        <v>63</v>
      </c>
      <c r="K20" s="47"/>
    </row>
    <row r="21" spans="1:11" ht="36" customHeight="1" outlineLevel="2" thickBot="1" x14ac:dyDescent="0.45">
      <c r="A21" s="48" t="s">
        <v>68</v>
      </c>
      <c r="B21" s="49" t="s">
        <v>23</v>
      </c>
      <c r="C21" s="50"/>
      <c r="D21" s="51" t="s">
        <v>73</v>
      </c>
      <c r="E21" s="52" t="s">
        <v>23</v>
      </c>
      <c r="F21" s="53">
        <v>3</v>
      </c>
      <c r="G21" s="54" t="s">
        <v>1083</v>
      </c>
      <c r="H21" s="50" t="s">
        <v>1084</v>
      </c>
      <c r="I21" s="50"/>
      <c r="J21" s="51" t="s">
        <v>63</v>
      </c>
      <c r="K21" s="55"/>
    </row>
    <row r="22" spans="1:11" ht="36" customHeight="1" thickBot="1" x14ac:dyDescent="0.45">
      <c r="A22" s="24" t="s">
        <v>252</v>
      </c>
      <c r="B22" s="25" t="s">
        <v>21</v>
      </c>
      <c r="C22" s="26" t="s">
        <v>482</v>
      </c>
      <c r="D22" s="27"/>
      <c r="E22" s="28" t="s">
        <v>401</v>
      </c>
      <c r="F22" s="29"/>
      <c r="G22" s="30"/>
      <c r="H22" s="26"/>
      <c r="I22" s="26"/>
      <c r="J22" s="27"/>
      <c r="K22" s="31"/>
    </row>
    <row r="23" spans="1:11" ht="36" customHeight="1" outlineLevel="1" thickBot="1" x14ac:dyDescent="0.45">
      <c r="A23" s="33" t="s">
        <v>190</v>
      </c>
      <c r="B23" s="34" t="s">
        <v>22</v>
      </c>
      <c r="C23" s="35" t="s">
        <v>191</v>
      </c>
      <c r="D23" s="36"/>
      <c r="E23" s="37" t="s">
        <v>22</v>
      </c>
      <c r="F23" s="38"/>
      <c r="G23" s="39"/>
      <c r="H23" s="36"/>
      <c r="I23" s="35"/>
      <c r="J23" s="36"/>
      <c r="K23" s="40"/>
    </row>
    <row r="24" spans="1:11" ht="81.75" customHeight="1" outlineLevel="2" x14ac:dyDescent="0.4">
      <c r="A24" s="41" t="s">
        <v>111</v>
      </c>
      <c r="B24" s="42" t="s">
        <v>22</v>
      </c>
      <c r="C24" s="43"/>
      <c r="D24" s="17" t="s">
        <v>70</v>
      </c>
      <c r="E24" s="44" t="s">
        <v>22</v>
      </c>
      <c r="F24" s="16">
        <v>1</v>
      </c>
      <c r="G24" s="45" t="s">
        <v>8</v>
      </c>
      <c r="H24" s="290" t="s">
        <v>1054</v>
      </c>
      <c r="I24" s="43" t="s">
        <v>108</v>
      </c>
      <c r="J24" s="17" t="s">
        <v>63</v>
      </c>
      <c r="K24" s="47" t="s">
        <v>67</v>
      </c>
    </row>
    <row r="25" spans="1:11" ht="104.25" customHeight="1" outlineLevel="2" x14ac:dyDescent="0.4">
      <c r="A25" s="41" t="s">
        <v>60</v>
      </c>
      <c r="B25" s="42" t="s">
        <v>22</v>
      </c>
      <c r="C25" s="43"/>
      <c r="D25" s="17" t="s">
        <v>71</v>
      </c>
      <c r="E25" s="44" t="s">
        <v>22</v>
      </c>
      <c r="F25" s="16">
        <v>1</v>
      </c>
      <c r="G25" s="45" t="s">
        <v>8</v>
      </c>
      <c r="H25" s="290" t="s">
        <v>1055</v>
      </c>
      <c r="I25" s="43" t="s">
        <v>108</v>
      </c>
      <c r="J25" s="17" t="s">
        <v>63</v>
      </c>
      <c r="K25" s="47" t="s">
        <v>67</v>
      </c>
    </row>
    <row r="26" spans="1:11" ht="36" customHeight="1" outlineLevel="2" thickBot="1" x14ac:dyDescent="0.45">
      <c r="A26" s="48" t="str">
        <f>A6</f>
        <v>Contraprestação não segregável</v>
      </c>
      <c r="B26" s="49" t="str">
        <f>B6</f>
        <v>ANS</v>
      </c>
      <c r="C26" s="50"/>
      <c r="D26" s="51" t="str">
        <f>D6</f>
        <v>Não segregável</v>
      </c>
      <c r="E26" s="52" t="s">
        <v>22</v>
      </c>
      <c r="F26" s="53">
        <v>1</v>
      </c>
      <c r="G26" s="54" t="str">
        <f>G6</f>
        <v>DIOPS</v>
      </c>
      <c r="H26" s="51" t="s">
        <v>1056</v>
      </c>
      <c r="I26" s="50" t="s">
        <v>108</v>
      </c>
      <c r="J26" s="51" t="s">
        <v>63</v>
      </c>
      <c r="K26" s="55" t="str">
        <f>K6</f>
        <v>Tem que somar a 311 (Contraprestação Líquida)</v>
      </c>
    </row>
    <row r="27" spans="1:11" ht="36" customHeight="1" outlineLevel="1" thickBot="1" x14ac:dyDescent="0.45">
      <c r="A27" s="56" t="s">
        <v>248</v>
      </c>
      <c r="B27" s="57" t="s">
        <v>23</v>
      </c>
      <c r="C27" s="58" t="s">
        <v>181</v>
      </c>
      <c r="D27" s="59"/>
      <c r="E27" s="60" t="s">
        <v>23</v>
      </c>
      <c r="F27" s="61">
        <v>3</v>
      </c>
      <c r="G27" s="62"/>
      <c r="H27" s="63"/>
      <c r="I27" s="63"/>
      <c r="J27" s="59"/>
      <c r="K27" s="64"/>
    </row>
    <row r="28" spans="1:11" ht="36" customHeight="1" outlineLevel="2" x14ac:dyDescent="0.4">
      <c r="A28" s="41" t="s">
        <v>82</v>
      </c>
      <c r="B28" s="42" t="s">
        <v>23</v>
      </c>
      <c r="C28" s="43" t="s">
        <v>4</v>
      </c>
      <c r="D28" s="17" t="s">
        <v>83</v>
      </c>
      <c r="E28" s="44" t="s">
        <v>23</v>
      </c>
      <c r="F28" s="16">
        <v>3</v>
      </c>
      <c r="G28" s="45" t="s">
        <v>213</v>
      </c>
      <c r="H28" s="43" t="s">
        <v>258</v>
      </c>
      <c r="I28" s="43"/>
      <c r="J28" s="17" t="s">
        <v>63</v>
      </c>
      <c r="K28" s="72"/>
    </row>
    <row r="29" spans="1:11" ht="36" customHeight="1" outlineLevel="2" x14ac:dyDescent="0.4">
      <c r="A29" s="41" t="s">
        <v>549</v>
      </c>
      <c r="B29" s="42" t="str">
        <f t="shared" ref="A29:C30" si="0">B9</f>
        <v>SUSEP</v>
      </c>
      <c r="C29" s="43" t="s">
        <v>96</v>
      </c>
      <c r="D29" s="17" t="str">
        <f>D9</f>
        <v>Capitalilzação</v>
      </c>
      <c r="E29" s="44" t="s">
        <v>23</v>
      </c>
      <c r="F29" s="16">
        <v>3</v>
      </c>
      <c r="G29" s="45" t="str">
        <f>G9</f>
        <v>Ses_Dados_Cap e ses_cap_uf</v>
      </c>
      <c r="H29" s="67" t="s">
        <v>1095</v>
      </c>
      <c r="I29" s="43" t="s">
        <v>108</v>
      </c>
      <c r="J29" s="17" t="s">
        <v>63</v>
      </c>
      <c r="K29" s="72"/>
    </row>
    <row r="30" spans="1:11" ht="36" customHeight="1" outlineLevel="2" x14ac:dyDescent="0.4">
      <c r="A30" s="41" t="str">
        <f t="shared" si="0"/>
        <v>Contribuição previdência</v>
      </c>
      <c r="B30" s="42" t="str">
        <f t="shared" si="0"/>
        <v>SUSEP</v>
      </c>
      <c r="C30" s="43" t="str">
        <f t="shared" si="0"/>
        <v>Os valores equivalem ao indicador Contribuição Previdência (UF) pois vêm da mesma tabela. A separação foi feita apenas para facilitar o uso do dataseg.</v>
      </c>
      <c r="D30" s="17" t="str">
        <f>D10</f>
        <v>Planos Tradicionais</v>
      </c>
      <c r="E30" s="44" t="s">
        <v>23</v>
      </c>
      <c r="F30" s="16">
        <v>3</v>
      </c>
      <c r="G30" s="17" t="s">
        <v>1082</v>
      </c>
      <c r="H30" s="43" t="s">
        <v>1081</v>
      </c>
      <c r="I30" s="43"/>
      <c r="J30" s="17" t="s">
        <v>63</v>
      </c>
      <c r="K30" s="47"/>
    </row>
    <row r="31" spans="1:11" ht="36" customHeight="1" outlineLevel="2" thickBot="1" x14ac:dyDescent="0.45">
      <c r="A31" s="48" t="str">
        <f>A11</f>
        <v>Contribuição PGBL</v>
      </c>
      <c r="B31" s="49" t="str">
        <f>B11</f>
        <v>SUSEP</v>
      </c>
      <c r="C31" s="50"/>
      <c r="D31" s="51" t="str">
        <f>D11</f>
        <v>PGBL</v>
      </c>
      <c r="E31" s="52" t="s">
        <v>23</v>
      </c>
      <c r="F31" s="53">
        <v>3</v>
      </c>
      <c r="G31" s="54" t="s">
        <v>1083</v>
      </c>
      <c r="H31" s="50" t="s">
        <v>1084</v>
      </c>
      <c r="I31" s="50"/>
      <c r="J31" s="51" t="s">
        <v>63</v>
      </c>
      <c r="K31" s="55"/>
    </row>
    <row r="32" spans="1:11" ht="36" customHeight="1" thickBot="1" x14ac:dyDescent="0.45">
      <c r="A32" s="73" t="s">
        <v>109</v>
      </c>
      <c r="B32" s="74" t="s">
        <v>23</v>
      </c>
      <c r="C32" s="75" t="s">
        <v>94</v>
      </c>
      <c r="D32" s="76"/>
      <c r="E32" s="77" t="s">
        <v>23</v>
      </c>
      <c r="F32" s="78">
        <v>3</v>
      </c>
      <c r="G32" s="79" t="s">
        <v>213</v>
      </c>
      <c r="H32" s="75" t="s">
        <v>229</v>
      </c>
      <c r="I32" s="75"/>
      <c r="J32" s="76"/>
      <c r="K32" s="80" t="s">
        <v>98</v>
      </c>
    </row>
    <row r="33" spans="1:11" ht="36" customHeight="1" thickBot="1" x14ac:dyDescent="0.45">
      <c r="A33" s="81" t="s">
        <v>110</v>
      </c>
      <c r="B33" s="82" t="s">
        <v>23</v>
      </c>
      <c r="C33" s="83" t="s">
        <v>95</v>
      </c>
      <c r="D33" s="84"/>
      <c r="E33" s="85" t="s">
        <v>23</v>
      </c>
      <c r="F33" s="86">
        <v>3</v>
      </c>
      <c r="G33" s="87" t="s">
        <v>213</v>
      </c>
      <c r="H33" s="83" t="s">
        <v>230</v>
      </c>
      <c r="I33" s="83"/>
      <c r="J33" s="84"/>
      <c r="K33" s="88" t="s">
        <v>209</v>
      </c>
    </row>
    <row r="34" spans="1:11" ht="36" customHeight="1" thickBot="1" x14ac:dyDescent="0.45">
      <c r="A34" s="89" t="s">
        <v>242</v>
      </c>
      <c r="B34" s="90" t="s">
        <v>21</v>
      </c>
      <c r="C34" s="91" t="s">
        <v>483</v>
      </c>
      <c r="D34" s="92"/>
      <c r="E34" s="93" t="s">
        <v>401</v>
      </c>
      <c r="F34" s="94"/>
      <c r="G34" s="95"/>
      <c r="H34" s="91"/>
      <c r="I34" s="91"/>
      <c r="J34" s="92"/>
      <c r="K34" s="96"/>
    </row>
    <row r="35" spans="1:11" ht="36" customHeight="1" outlineLevel="1" thickBot="1" x14ac:dyDescent="0.45">
      <c r="A35" s="33" t="s">
        <v>190</v>
      </c>
      <c r="B35" s="34" t="s">
        <v>22</v>
      </c>
      <c r="C35" s="35" t="s">
        <v>191</v>
      </c>
      <c r="D35" s="36"/>
      <c r="E35" s="37" t="s">
        <v>22</v>
      </c>
      <c r="F35" s="38"/>
      <c r="G35" s="39"/>
      <c r="H35" s="36"/>
      <c r="I35" s="35"/>
      <c r="J35" s="36"/>
      <c r="K35" s="40"/>
    </row>
    <row r="36" spans="1:11" ht="78" customHeight="1" outlineLevel="2" x14ac:dyDescent="0.4">
      <c r="A36" s="41" t="str">
        <f t="shared" ref="A36:B38" si="1">A4</f>
        <v>Contraprestação/Médico-hospitalar</v>
      </c>
      <c r="B36" s="42" t="str">
        <f t="shared" si="1"/>
        <v>ANS</v>
      </c>
      <c r="C36" s="43"/>
      <c r="D36" s="17" t="str">
        <f>D4</f>
        <v>Médico-Hospitalar</v>
      </c>
      <c r="E36" s="44" t="s">
        <v>22</v>
      </c>
      <c r="F36" s="16">
        <v>1</v>
      </c>
      <c r="G36" s="45" t="str">
        <f>G4</f>
        <v>DIOPS</v>
      </c>
      <c r="H36" s="291" t="s">
        <v>484</v>
      </c>
      <c r="I36" s="43" t="s">
        <v>108</v>
      </c>
      <c r="J36" s="17" t="s">
        <v>63</v>
      </c>
      <c r="K36" s="47" t="str">
        <f>K24</f>
        <v>Tem que somar a 311 (Contraprestação Líquida)</v>
      </c>
    </row>
    <row r="37" spans="1:11" ht="82.5" customHeight="1" outlineLevel="2" x14ac:dyDescent="0.4">
      <c r="A37" s="41" t="str">
        <f t="shared" si="1"/>
        <v>Contraprestação/Odontológico</v>
      </c>
      <c r="B37" s="42" t="str">
        <f t="shared" si="1"/>
        <v>ANS</v>
      </c>
      <c r="C37" s="43"/>
      <c r="D37" s="17" t="str">
        <f>D5</f>
        <v>Odontológico</v>
      </c>
      <c r="E37" s="44" t="s">
        <v>22</v>
      </c>
      <c r="F37" s="16">
        <v>1</v>
      </c>
      <c r="G37" s="45" t="str">
        <f>G5</f>
        <v>DIOPS</v>
      </c>
      <c r="H37" s="290" t="s">
        <v>546</v>
      </c>
      <c r="I37" s="43" t="s">
        <v>108</v>
      </c>
      <c r="J37" s="17" t="s">
        <v>63</v>
      </c>
      <c r="K37" s="47" t="str">
        <f>K25</f>
        <v>Tem que somar a 311 (Contraprestação Líquida)</v>
      </c>
    </row>
    <row r="38" spans="1:11" ht="36" customHeight="1" outlineLevel="2" thickBot="1" x14ac:dyDescent="0.45">
      <c r="A38" s="48" t="str">
        <f t="shared" si="1"/>
        <v>Contraprestação não segregável</v>
      </c>
      <c r="B38" s="49" t="str">
        <f t="shared" si="1"/>
        <v>ANS</v>
      </c>
      <c r="C38" s="50"/>
      <c r="D38" s="51" t="str">
        <f>D6</f>
        <v>Não segregável</v>
      </c>
      <c r="E38" s="52" t="s">
        <v>22</v>
      </c>
      <c r="F38" s="53">
        <v>1</v>
      </c>
      <c r="G38" s="54" t="str">
        <f>G6</f>
        <v>DIOPS</v>
      </c>
      <c r="H38" s="51" t="s">
        <v>212</v>
      </c>
      <c r="I38" s="50" t="s">
        <v>108</v>
      </c>
      <c r="J38" s="51" t="s">
        <v>63</v>
      </c>
      <c r="K38" s="55" t="str">
        <f>K26</f>
        <v>Tem que somar a 311 (Contraprestação Líquida)</v>
      </c>
    </row>
    <row r="39" spans="1:11" ht="36" customHeight="1" outlineLevel="1" thickBot="1" x14ac:dyDescent="0.45">
      <c r="A39" s="33" t="s">
        <v>249</v>
      </c>
      <c r="B39" s="34" t="s">
        <v>23</v>
      </c>
      <c r="C39" s="97" t="s">
        <v>180</v>
      </c>
      <c r="D39" s="36"/>
      <c r="E39" s="37" t="s">
        <v>23</v>
      </c>
      <c r="F39" s="38"/>
      <c r="G39" s="39"/>
      <c r="H39" s="35"/>
      <c r="I39" s="35"/>
      <c r="J39" s="36"/>
      <c r="K39" s="40"/>
    </row>
    <row r="40" spans="1:11" ht="36" customHeight="1" outlineLevel="2" x14ac:dyDescent="0.4">
      <c r="A40" s="41" t="s">
        <v>115</v>
      </c>
      <c r="B40" s="42" t="s">
        <v>23</v>
      </c>
      <c r="C40" s="43" t="s">
        <v>92</v>
      </c>
      <c r="D40" s="17" t="s">
        <v>81</v>
      </c>
      <c r="E40" s="44" t="s">
        <v>23</v>
      </c>
      <c r="F40" s="16">
        <v>3</v>
      </c>
      <c r="G40" s="45" t="s">
        <v>11</v>
      </c>
      <c r="H40" s="43" t="s">
        <v>211</v>
      </c>
      <c r="I40" s="43"/>
      <c r="J40" s="17" t="s">
        <v>63</v>
      </c>
      <c r="K40" s="47"/>
    </row>
    <row r="41" spans="1:11" ht="36" customHeight="1" outlineLevel="2" x14ac:dyDescent="0.4">
      <c r="A41" s="65" t="str">
        <f t="shared" ref="A41:D42" si="2">A29</f>
        <v>Faturamento capitalização bruto</v>
      </c>
      <c r="B41" s="66" t="str">
        <f t="shared" si="2"/>
        <v>SUSEP</v>
      </c>
      <c r="C41" s="67" t="str">
        <f t="shared" si="2"/>
        <v>Equivale ao total da arrecadação - devoluções e cancelamento</v>
      </c>
      <c r="D41" s="68" t="str">
        <f t="shared" si="2"/>
        <v>Capitalilzação</v>
      </c>
      <c r="E41" s="69" t="s">
        <v>23</v>
      </c>
      <c r="F41" s="70">
        <v>3</v>
      </c>
      <c r="G41" s="71" t="str">
        <f>G29</f>
        <v>Ses_Dados_Cap e ses_cap_uf</v>
      </c>
      <c r="H41" s="67" t="s">
        <v>1095</v>
      </c>
      <c r="I41" s="67" t="s">
        <v>108</v>
      </c>
      <c r="J41" s="68" t="s">
        <v>63</v>
      </c>
      <c r="K41" s="72"/>
    </row>
    <row r="42" spans="1:11" ht="36" customHeight="1" outlineLevel="2" x14ac:dyDescent="0.4">
      <c r="A42" s="41" t="str">
        <f t="shared" si="2"/>
        <v>Contribuição previdência</v>
      </c>
      <c r="B42" s="42" t="str">
        <f t="shared" si="2"/>
        <v>SUSEP</v>
      </c>
      <c r="C42" s="43" t="str">
        <f t="shared" si="2"/>
        <v>Os valores equivalem ao indicador Contribuição Previdência (UF) pois vêm da mesma tabela. A separação foi feita apenas para facilitar o uso do dataseg.</v>
      </c>
      <c r="D42" s="17" t="str">
        <f t="shared" si="2"/>
        <v>Planos Tradicionais</v>
      </c>
      <c r="E42" s="44" t="s">
        <v>23</v>
      </c>
      <c r="F42" s="16">
        <v>3</v>
      </c>
      <c r="G42" s="17" t="s">
        <v>1082</v>
      </c>
      <c r="H42" s="43" t="s">
        <v>1081</v>
      </c>
      <c r="I42" s="43"/>
      <c r="J42" s="17" t="s">
        <v>63</v>
      </c>
      <c r="K42" s="47"/>
    </row>
    <row r="43" spans="1:11" ht="36" customHeight="1" outlineLevel="2" thickBot="1" x14ac:dyDescent="0.45">
      <c r="A43" s="48" t="str">
        <f>A31</f>
        <v>Contribuição PGBL</v>
      </c>
      <c r="B43" s="49" t="str">
        <f>B31</f>
        <v>SUSEP</v>
      </c>
      <c r="C43" s="50"/>
      <c r="D43" s="51" t="str">
        <f>D31</f>
        <v>PGBL</v>
      </c>
      <c r="E43" s="52" t="s">
        <v>23</v>
      </c>
      <c r="F43" s="53">
        <v>3</v>
      </c>
      <c r="G43" s="54" t="s">
        <v>1083</v>
      </c>
      <c r="H43" s="50" t="s">
        <v>1084</v>
      </c>
      <c r="I43" s="50"/>
      <c r="J43" s="51" t="s">
        <v>63</v>
      </c>
      <c r="K43" s="55"/>
    </row>
    <row r="44" spans="1:11" ht="36" customHeight="1" thickBot="1" x14ac:dyDescent="0.45">
      <c r="A44" s="98" t="s">
        <v>219</v>
      </c>
      <c r="B44" s="99" t="s">
        <v>21</v>
      </c>
      <c r="C44" s="100" t="s">
        <v>485</v>
      </c>
      <c r="D44" s="101"/>
      <c r="E44" s="102" t="s">
        <v>401</v>
      </c>
      <c r="F44" s="103"/>
      <c r="G44" s="104"/>
      <c r="H44" s="100"/>
      <c r="I44" s="100"/>
      <c r="J44" s="101"/>
      <c r="K44" s="105"/>
    </row>
    <row r="45" spans="1:11" ht="36" customHeight="1" outlineLevel="1" thickBot="1" x14ac:dyDescent="0.45">
      <c r="A45" s="33" t="s">
        <v>190</v>
      </c>
      <c r="B45" s="34" t="s">
        <v>22</v>
      </c>
      <c r="C45" s="35" t="s">
        <v>191</v>
      </c>
      <c r="D45" s="36"/>
      <c r="E45" s="37" t="s">
        <v>22</v>
      </c>
      <c r="F45" s="38">
        <v>1</v>
      </c>
      <c r="G45" s="39"/>
      <c r="H45" s="36"/>
      <c r="I45" s="35"/>
      <c r="J45" s="36"/>
      <c r="K45" s="40"/>
    </row>
    <row r="46" spans="1:11" ht="81.75" customHeight="1" outlineLevel="2" x14ac:dyDescent="0.4">
      <c r="A46" s="41" t="s">
        <v>111</v>
      </c>
      <c r="B46" s="42" t="s">
        <v>22</v>
      </c>
      <c r="C46" s="43"/>
      <c r="D46" s="17" t="s">
        <v>70</v>
      </c>
      <c r="E46" s="44" t="s">
        <v>22</v>
      </c>
      <c r="F46" s="16">
        <v>1</v>
      </c>
      <c r="G46" s="45" t="s">
        <v>8</v>
      </c>
      <c r="H46" s="290" t="s">
        <v>1057</v>
      </c>
      <c r="I46" s="43" t="s">
        <v>108</v>
      </c>
      <c r="J46" s="17" t="s">
        <v>63</v>
      </c>
      <c r="K46" s="47" t="s">
        <v>67</v>
      </c>
    </row>
    <row r="47" spans="1:11" ht="104.25" customHeight="1" outlineLevel="2" x14ac:dyDescent="0.4">
      <c r="A47" s="41" t="s">
        <v>60</v>
      </c>
      <c r="B47" s="42" t="s">
        <v>22</v>
      </c>
      <c r="C47" s="43"/>
      <c r="D47" s="17" t="s">
        <v>71</v>
      </c>
      <c r="E47" s="44" t="s">
        <v>22</v>
      </c>
      <c r="F47" s="16">
        <v>1</v>
      </c>
      <c r="G47" s="45" t="s">
        <v>8</v>
      </c>
      <c r="H47" s="290" t="s">
        <v>1055</v>
      </c>
      <c r="I47" s="43" t="s">
        <v>108</v>
      </c>
      <c r="J47" s="17" t="s">
        <v>63</v>
      </c>
      <c r="K47" s="47" t="s">
        <v>67</v>
      </c>
    </row>
    <row r="48" spans="1:11" ht="36" customHeight="1" outlineLevel="2" thickBot="1" x14ac:dyDescent="0.45">
      <c r="A48" s="48" t="s">
        <v>65</v>
      </c>
      <c r="B48" s="49" t="s">
        <v>22</v>
      </c>
      <c r="C48" s="50"/>
      <c r="D48" s="51" t="s">
        <v>72</v>
      </c>
      <c r="E48" s="52" t="s">
        <v>22</v>
      </c>
      <c r="F48" s="53">
        <v>1</v>
      </c>
      <c r="G48" s="54" t="s">
        <v>8</v>
      </c>
      <c r="H48" s="51" t="s">
        <v>1056</v>
      </c>
      <c r="I48" s="50" t="s">
        <v>108</v>
      </c>
      <c r="J48" s="51" t="s">
        <v>63</v>
      </c>
      <c r="K48" s="55" t="str">
        <f>K38</f>
        <v>Tem que somar a 311 (Contraprestação Líquida)</v>
      </c>
    </row>
    <row r="49" spans="1:11" ht="36" customHeight="1" outlineLevel="1" thickBot="1" x14ac:dyDescent="0.45">
      <c r="A49" s="56" t="s">
        <v>250</v>
      </c>
      <c r="B49" s="57" t="s">
        <v>23</v>
      </c>
      <c r="C49" s="58" t="s">
        <v>180</v>
      </c>
      <c r="D49" s="59"/>
      <c r="E49" s="60" t="s">
        <v>23</v>
      </c>
      <c r="F49" s="61"/>
      <c r="G49" s="62"/>
      <c r="H49" s="63"/>
      <c r="I49" s="63"/>
      <c r="J49" s="59"/>
      <c r="K49" s="64"/>
    </row>
    <row r="50" spans="1:11" ht="36" customHeight="1" outlineLevel="2" x14ac:dyDescent="0.4">
      <c r="A50" s="41" t="s">
        <v>225</v>
      </c>
      <c r="B50" s="42" t="s">
        <v>23</v>
      </c>
      <c r="C50" s="43" t="s">
        <v>92</v>
      </c>
      <c r="D50" s="17" t="s">
        <v>81</v>
      </c>
      <c r="E50" s="44" t="s">
        <v>23</v>
      </c>
      <c r="F50" s="16">
        <v>3</v>
      </c>
      <c r="G50" s="45" t="s">
        <v>213</v>
      </c>
      <c r="H50" s="43" t="s">
        <v>227</v>
      </c>
      <c r="I50" s="43"/>
      <c r="J50" s="17" t="s">
        <v>63</v>
      </c>
      <c r="K50" s="47"/>
    </row>
    <row r="51" spans="1:11" ht="36" customHeight="1" outlineLevel="2" x14ac:dyDescent="0.4">
      <c r="A51" s="41" t="s">
        <v>226</v>
      </c>
      <c r="B51" s="42" t="s">
        <v>23</v>
      </c>
      <c r="C51" s="43"/>
      <c r="D51" s="17" t="s">
        <v>81</v>
      </c>
      <c r="E51" s="44" t="s">
        <v>23</v>
      </c>
      <c r="F51" s="16">
        <v>3</v>
      </c>
      <c r="G51" s="45" t="s">
        <v>213</v>
      </c>
      <c r="H51" s="43" t="s">
        <v>228</v>
      </c>
      <c r="I51" s="43"/>
      <c r="J51" s="17" t="s">
        <v>63</v>
      </c>
      <c r="K51" s="47"/>
    </row>
    <row r="52" spans="1:11" ht="36" customHeight="1" outlineLevel="2" x14ac:dyDescent="0.4">
      <c r="A52" s="41" t="s">
        <v>113</v>
      </c>
      <c r="B52" s="42" t="s">
        <v>23</v>
      </c>
      <c r="C52" s="43" t="s">
        <v>96</v>
      </c>
      <c r="D52" s="17" t="s">
        <v>5</v>
      </c>
      <c r="E52" s="44" t="s">
        <v>23</v>
      </c>
      <c r="F52" s="16">
        <v>3</v>
      </c>
      <c r="G52" s="45" t="s">
        <v>1094</v>
      </c>
      <c r="H52" s="67" t="s">
        <v>1095</v>
      </c>
      <c r="I52" s="43" t="s">
        <v>108</v>
      </c>
      <c r="J52" s="17" t="s">
        <v>63</v>
      </c>
      <c r="K52" s="72"/>
    </row>
    <row r="53" spans="1:11" ht="36" customHeight="1" outlineLevel="2" x14ac:dyDescent="0.4">
      <c r="A53" s="41" t="s">
        <v>114</v>
      </c>
      <c r="B53" s="42" t="s">
        <v>23</v>
      </c>
      <c r="C53" s="43" t="s">
        <v>50</v>
      </c>
      <c r="D53" s="17" t="s">
        <v>74</v>
      </c>
      <c r="E53" s="44" t="s">
        <v>23</v>
      </c>
      <c r="F53" s="16">
        <v>3</v>
      </c>
      <c r="G53" s="17" t="s">
        <v>1082</v>
      </c>
      <c r="H53" s="43" t="s">
        <v>1081</v>
      </c>
      <c r="I53" s="43"/>
      <c r="J53" s="17" t="s">
        <v>63</v>
      </c>
      <c r="K53" s="47"/>
    </row>
    <row r="54" spans="1:11" ht="36" customHeight="1" outlineLevel="2" thickBot="1" x14ac:dyDescent="0.45">
      <c r="A54" s="48" t="s">
        <v>68</v>
      </c>
      <c r="B54" s="49" t="s">
        <v>23</v>
      </c>
      <c r="C54" s="50"/>
      <c r="D54" s="51" t="s">
        <v>73</v>
      </c>
      <c r="E54" s="52" t="s">
        <v>23</v>
      </c>
      <c r="F54" s="53">
        <v>3</v>
      </c>
      <c r="G54" s="54" t="s">
        <v>1083</v>
      </c>
      <c r="H54" s="50" t="s">
        <v>1084</v>
      </c>
      <c r="I54" s="50"/>
      <c r="J54" s="51" t="s">
        <v>63</v>
      </c>
      <c r="K54" s="55"/>
    </row>
    <row r="55" spans="1:11" ht="36" customHeight="1" thickBot="1" x14ac:dyDescent="0.45">
      <c r="A55" s="98" t="s">
        <v>245</v>
      </c>
      <c r="B55" s="99" t="s">
        <v>23</v>
      </c>
      <c r="C55" s="100" t="s">
        <v>486</v>
      </c>
      <c r="D55" s="101"/>
      <c r="E55" s="102" t="s">
        <v>401</v>
      </c>
      <c r="F55" s="103"/>
      <c r="G55" s="104"/>
      <c r="H55" s="100"/>
      <c r="I55" s="100"/>
      <c r="J55" s="101"/>
      <c r="K55" s="105"/>
    </row>
    <row r="56" spans="1:11" ht="36" customHeight="1" outlineLevel="1" thickBot="1" x14ac:dyDescent="0.45">
      <c r="A56" s="33" t="s">
        <v>190</v>
      </c>
      <c r="B56" s="34" t="s">
        <v>22</v>
      </c>
      <c r="C56" s="35" t="s">
        <v>191</v>
      </c>
      <c r="D56" s="36"/>
      <c r="E56" s="37" t="s">
        <v>22</v>
      </c>
      <c r="F56" s="38"/>
      <c r="G56" s="39"/>
      <c r="H56" s="36"/>
      <c r="I56" s="35"/>
      <c r="J56" s="36"/>
      <c r="K56" s="40"/>
    </row>
    <row r="57" spans="1:11" ht="81.75" customHeight="1" outlineLevel="2" x14ac:dyDescent="0.4">
      <c r="A57" s="41" t="s">
        <v>111</v>
      </c>
      <c r="B57" s="42" t="s">
        <v>22</v>
      </c>
      <c r="C57" s="43"/>
      <c r="D57" s="17" t="s">
        <v>70</v>
      </c>
      <c r="E57" s="44" t="s">
        <v>22</v>
      </c>
      <c r="F57" s="16">
        <v>1</v>
      </c>
      <c r="G57" s="45" t="s">
        <v>8</v>
      </c>
      <c r="H57" s="290" t="s">
        <v>1057</v>
      </c>
      <c r="I57" s="43" t="s">
        <v>108</v>
      </c>
      <c r="J57" s="17" t="s">
        <v>63</v>
      </c>
      <c r="K57" s="47" t="s">
        <v>67</v>
      </c>
    </row>
    <row r="58" spans="1:11" ht="104.25" customHeight="1" outlineLevel="2" x14ac:dyDescent="0.4">
      <c r="A58" s="41" t="s">
        <v>60</v>
      </c>
      <c r="B58" s="42" t="s">
        <v>22</v>
      </c>
      <c r="C58" s="43"/>
      <c r="D58" s="17" t="s">
        <v>71</v>
      </c>
      <c r="E58" s="44" t="s">
        <v>22</v>
      </c>
      <c r="F58" s="16">
        <v>1</v>
      </c>
      <c r="G58" s="45" t="s">
        <v>8</v>
      </c>
      <c r="H58" s="290" t="s">
        <v>1055</v>
      </c>
      <c r="I58" s="43" t="s">
        <v>108</v>
      </c>
      <c r="J58" s="17" t="s">
        <v>63</v>
      </c>
      <c r="K58" s="47" t="s">
        <v>67</v>
      </c>
    </row>
    <row r="59" spans="1:11" ht="36" customHeight="1" outlineLevel="2" thickBot="1" x14ac:dyDescent="0.45">
      <c r="A59" s="48" t="s">
        <v>65</v>
      </c>
      <c r="B59" s="49" t="s">
        <v>22</v>
      </c>
      <c r="C59" s="50"/>
      <c r="D59" s="51" t="s">
        <v>72</v>
      </c>
      <c r="E59" s="52" t="s">
        <v>22</v>
      </c>
      <c r="F59" s="53">
        <v>1</v>
      </c>
      <c r="G59" s="54" t="s">
        <v>8</v>
      </c>
      <c r="H59" s="51" t="s">
        <v>1056</v>
      </c>
      <c r="I59" s="50" t="s">
        <v>108</v>
      </c>
      <c r="J59" s="51" t="s">
        <v>63</v>
      </c>
      <c r="K59" s="55" t="str">
        <f>K48</f>
        <v>Tem que somar a 311 (Contraprestação Líquida)</v>
      </c>
    </row>
    <row r="60" spans="1:11" ht="36" customHeight="1" outlineLevel="1" thickBot="1" x14ac:dyDescent="0.45">
      <c r="A60" s="106" t="s">
        <v>251</v>
      </c>
      <c r="B60" s="107" t="s">
        <v>23</v>
      </c>
      <c r="C60" s="58" t="s">
        <v>180</v>
      </c>
      <c r="D60" s="108"/>
      <c r="E60" s="109" t="s">
        <v>23</v>
      </c>
      <c r="F60" s="110">
        <v>3</v>
      </c>
      <c r="G60" s="111"/>
      <c r="H60" s="58"/>
      <c r="I60" s="58"/>
      <c r="J60" s="108"/>
      <c r="K60" s="112"/>
    </row>
    <row r="61" spans="1:11" ht="36" customHeight="1" outlineLevel="2" x14ac:dyDescent="0.4">
      <c r="A61" s="41" t="s">
        <v>243</v>
      </c>
      <c r="B61" s="42" t="s">
        <v>23</v>
      </c>
      <c r="C61" s="43" t="s">
        <v>92</v>
      </c>
      <c r="D61" s="17" t="s">
        <v>81</v>
      </c>
      <c r="E61" s="44" t="s">
        <v>23</v>
      </c>
      <c r="F61" s="16">
        <v>3</v>
      </c>
      <c r="G61" s="45" t="s">
        <v>213</v>
      </c>
      <c r="H61" s="43" t="s">
        <v>244</v>
      </c>
      <c r="I61" s="43"/>
      <c r="J61" s="17" t="s">
        <v>63</v>
      </c>
      <c r="K61" s="47"/>
    </row>
    <row r="62" spans="1:11" ht="36" customHeight="1" outlineLevel="2" x14ac:dyDescent="0.4">
      <c r="A62" s="41" t="s">
        <v>113</v>
      </c>
      <c r="B62" s="42" t="s">
        <v>23</v>
      </c>
      <c r="C62" s="43" t="s">
        <v>96</v>
      </c>
      <c r="D62" s="17" t="s">
        <v>5</v>
      </c>
      <c r="E62" s="44" t="s">
        <v>23</v>
      </c>
      <c r="F62" s="16">
        <v>3</v>
      </c>
      <c r="G62" s="45" t="s">
        <v>1094</v>
      </c>
      <c r="H62" s="67" t="s">
        <v>1095</v>
      </c>
      <c r="I62" s="43" t="s">
        <v>108</v>
      </c>
      <c r="J62" s="17" t="s">
        <v>63</v>
      </c>
      <c r="K62" s="47"/>
    </row>
    <row r="63" spans="1:11" ht="36" customHeight="1" outlineLevel="2" x14ac:dyDescent="0.4">
      <c r="A63" s="41" t="s">
        <v>114</v>
      </c>
      <c r="B63" s="42" t="s">
        <v>23</v>
      </c>
      <c r="C63" s="43" t="s">
        <v>50</v>
      </c>
      <c r="D63" s="17" t="s">
        <v>74</v>
      </c>
      <c r="E63" s="44" t="s">
        <v>23</v>
      </c>
      <c r="F63" s="16">
        <v>3</v>
      </c>
      <c r="G63" s="17" t="s">
        <v>1082</v>
      </c>
      <c r="H63" s="43" t="s">
        <v>1081</v>
      </c>
      <c r="I63" s="43"/>
      <c r="J63" s="17" t="s">
        <v>63</v>
      </c>
      <c r="K63" s="47"/>
    </row>
    <row r="64" spans="1:11" ht="36" customHeight="1" outlineLevel="2" thickBot="1" x14ac:dyDescent="0.45">
      <c r="A64" s="48" t="s">
        <v>68</v>
      </c>
      <c r="B64" s="49" t="s">
        <v>23</v>
      </c>
      <c r="C64" s="50"/>
      <c r="D64" s="51" t="s">
        <v>73</v>
      </c>
      <c r="E64" s="52" t="s">
        <v>23</v>
      </c>
      <c r="F64" s="53">
        <v>3</v>
      </c>
      <c r="G64" s="54" t="s">
        <v>1083</v>
      </c>
      <c r="H64" s="50" t="s">
        <v>1084</v>
      </c>
      <c r="I64" s="50"/>
      <c r="J64" s="51" t="s">
        <v>63</v>
      </c>
      <c r="K64" s="55"/>
    </row>
    <row r="65" spans="1:11" ht="60.75" customHeight="1" thickBot="1" x14ac:dyDescent="0.45">
      <c r="A65" s="98" t="s">
        <v>64</v>
      </c>
      <c r="B65" s="99" t="s">
        <v>21</v>
      </c>
      <c r="C65" s="100" t="s">
        <v>487</v>
      </c>
      <c r="D65" s="101"/>
      <c r="E65" s="102" t="s">
        <v>401</v>
      </c>
      <c r="F65" s="103"/>
      <c r="G65" s="104"/>
      <c r="H65" s="100"/>
      <c r="I65" s="100"/>
      <c r="J65" s="101"/>
      <c r="K65" s="105"/>
    </row>
    <row r="66" spans="1:11" ht="36" customHeight="1" outlineLevel="1" thickBot="1" x14ac:dyDescent="0.45">
      <c r="A66" s="113" t="s">
        <v>10</v>
      </c>
      <c r="B66" s="114" t="s">
        <v>23</v>
      </c>
      <c r="C66" s="115"/>
      <c r="D66" s="116" t="s">
        <v>81</v>
      </c>
      <c r="E66" s="117" t="s">
        <v>23</v>
      </c>
      <c r="F66" s="118">
        <v>3</v>
      </c>
      <c r="G66" s="119" t="s">
        <v>214</v>
      </c>
      <c r="H66" s="115" t="s">
        <v>223</v>
      </c>
      <c r="I66" s="115"/>
      <c r="J66" s="116"/>
      <c r="K66" s="120"/>
    </row>
    <row r="67" spans="1:11" ht="36" customHeight="1" outlineLevel="1" thickBot="1" x14ac:dyDescent="0.45">
      <c r="A67" s="113" t="s">
        <v>75</v>
      </c>
      <c r="B67" s="114" t="s">
        <v>23</v>
      </c>
      <c r="C67" s="115"/>
      <c r="D67" s="116" t="s">
        <v>79</v>
      </c>
      <c r="E67" s="117" t="s">
        <v>23</v>
      </c>
      <c r="F67" s="118">
        <v>3</v>
      </c>
      <c r="G67" s="119" t="s">
        <v>1094</v>
      </c>
      <c r="H67" s="115" t="s">
        <v>1096</v>
      </c>
      <c r="I67" s="115"/>
      <c r="J67" s="116"/>
      <c r="K67" s="120"/>
    </row>
    <row r="68" spans="1:11" ht="36" customHeight="1" outlineLevel="1" thickBot="1" x14ac:dyDescent="0.45">
      <c r="A68" s="113" t="s">
        <v>76</v>
      </c>
      <c r="B68" s="114" t="s">
        <v>23</v>
      </c>
      <c r="C68" s="115"/>
      <c r="D68" s="116"/>
      <c r="E68" s="117" t="s">
        <v>23</v>
      </c>
      <c r="F68" s="118">
        <v>3</v>
      </c>
      <c r="G68" s="119" t="s">
        <v>1094</v>
      </c>
      <c r="H68" s="115" t="s">
        <v>1097</v>
      </c>
      <c r="I68" s="115"/>
      <c r="J68" s="116"/>
      <c r="K68" s="120"/>
    </row>
    <row r="69" spans="1:11" ht="36" customHeight="1" outlineLevel="1" thickBot="1" x14ac:dyDescent="0.45">
      <c r="A69" s="113" t="s">
        <v>116</v>
      </c>
      <c r="B69" s="114" t="s">
        <v>23</v>
      </c>
      <c r="C69" s="115"/>
      <c r="D69" s="116" t="s">
        <v>74</v>
      </c>
      <c r="E69" s="117" t="s">
        <v>23</v>
      </c>
      <c r="F69" s="118">
        <v>3</v>
      </c>
      <c r="G69" s="119" t="s">
        <v>1086</v>
      </c>
      <c r="H69" s="115" t="s">
        <v>1087</v>
      </c>
      <c r="I69" s="115"/>
      <c r="J69" s="116"/>
      <c r="K69" s="120"/>
    </row>
    <row r="70" spans="1:11" ht="36" customHeight="1" outlineLevel="1" thickBot="1" x14ac:dyDescent="0.45">
      <c r="A70" s="113" t="s">
        <v>117</v>
      </c>
      <c r="B70" s="114" t="s">
        <v>23</v>
      </c>
      <c r="C70" s="115"/>
      <c r="D70" s="116"/>
      <c r="E70" s="117" t="s">
        <v>23</v>
      </c>
      <c r="F70" s="118">
        <v>3</v>
      </c>
      <c r="G70" s="119" t="s">
        <v>14</v>
      </c>
      <c r="H70" s="115" t="s">
        <v>13</v>
      </c>
      <c r="I70" s="115"/>
      <c r="J70" s="116"/>
      <c r="K70" s="120"/>
    </row>
    <row r="71" spans="1:11" ht="36" customHeight="1" outlineLevel="1" thickBot="1" x14ac:dyDescent="0.45">
      <c r="A71" s="113" t="s">
        <v>77</v>
      </c>
      <c r="B71" s="114" t="s">
        <v>23</v>
      </c>
      <c r="C71" s="115"/>
      <c r="D71" s="116" t="s">
        <v>73</v>
      </c>
      <c r="E71" s="117" t="s">
        <v>23</v>
      </c>
      <c r="F71" s="118">
        <v>3</v>
      </c>
      <c r="G71" s="119" t="s">
        <v>1083</v>
      </c>
      <c r="H71" s="115" t="s">
        <v>1085</v>
      </c>
      <c r="I71" s="115"/>
      <c r="J71" s="116"/>
      <c r="K71" s="120"/>
    </row>
    <row r="72" spans="1:11" ht="36" customHeight="1" outlineLevel="1" thickBot="1" x14ac:dyDescent="0.45">
      <c r="A72" s="113" t="s">
        <v>78</v>
      </c>
      <c r="B72" s="114" t="s">
        <v>23</v>
      </c>
      <c r="C72" s="115"/>
      <c r="D72" s="116"/>
      <c r="E72" s="117" t="s">
        <v>23</v>
      </c>
      <c r="F72" s="118">
        <v>3</v>
      </c>
      <c r="G72" s="119" t="s">
        <v>1083</v>
      </c>
      <c r="H72" s="115" t="s">
        <v>1088</v>
      </c>
      <c r="I72" s="115"/>
      <c r="J72" s="116"/>
      <c r="K72" s="120"/>
    </row>
    <row r="73" spans="1:11" ht="36" customHeight="1" outlineLevel="1" thickBot="1" x14ac:dyDescent="0.45">
      <c r="A73" s="121" t="s">
        <v>1089</v>
      </c>
      <c r="B73" s="114" t="s">
        <v>23</v>
      </c>
      <c r="C73" s="115"/>
      <c r="D73" s="116" t="s">
        <v>1090</v>
      </c>
      <c r="E73" s="117" t="s">
        <v>23</v>
      </c>
      <c r="F73" s="118">
        <v>3</v>
      </c>
      <c r="G73" s="119" t="s">
        <v>1091</v>
      </c>
      <c r="H73" s="115" t="s">
        <v>1092</v>
      </c>
      <c r="I73" s="115"/>
      <c r="J73" s="116"/>
      <c r="K73" s="120"/>
    </row>
    <row r="74" spans="1:11" s="128" customFormat="1" ht="36" customHeight="1" outlineLevel="1" thickBot="1" x14ac:dyDescent="0.45">
      <c r="A74" s="121" t="s">
        <v>135</v>
      </c>
      <c r="B74" s="122" t="s">
        <v>23</v>
      </c>
      <c r="C74" s="97" t="s">
        <v>136</v>
      </c>
      <c r="D74" s="123"/>
      <c r="E74" s="124" t="s">
        <v>23</v>
      </c>
      <c r="F74" s="125">
        <v>3</v>
      </c>
      <c r="G74" s="126"/>
      <c r="H74" s="97"/>
      <c r="I74" s="97"/>
      <c r="J74" s="123"/>
      <c r="K74" s="127"/>
    </row>
    <row r="75" spans="1:11" ht="36" customHeight="1" outlineLevel="2" thickBot="1" x14ac:dyDescent="0.45">
      <c r="A75" s="113" t="s">
        <v>42</v>
      </c>
      <c r="B75" s="114" t="s">
        <v>23</v>
      </c>
      <c r="C75" s="115"/>
      <c r="D75" s="116"/>
      <c r="E75" s="117" t="s">
        <v>23</v>
      </c>
      <c r="F75" s="118">
        <v>3</v>
      </c>
      <c r="G75" s="119" t="s">
        <v>44</v>
      </c>
      <c r="H75" s="115" t="s">
        <v>45</v>
      </c>
      <c r="I75" s="115"/>
      <c r="J75" s="116"/>
      <c r="K75" s="120"/>
    </row>
    <row r="76" spans="1:11" ht="36" customHeight="1" outlineLevel="2" thickBot="1" x14ac:dyDescent="0.45">
      <c r="A76" s="113" t="s">
        <v>43</v>
      </c>
      <c r="B76" s="114" t="s">
        <v>23</v>
      </c>
      <c r="C76" s="115"/>
      <c r="D76" s="116"/>
      <c r="E76" s="117" t="s">
        <v>23</v>
      </c>
      <c r="F76" s="118">
        <v>3</v>
      </c>
      <c r="G76" s="119" t="s">
        <v>44</v>
      </c>
      <c r="H76" s="115" t="s">
        <v>46</v>
      </c>
      <c r="I76" s="115"/>
      <c r="J76" s="116"/>
      <c r="K76" s="120"/>
    </row>
    <row r="77" spans="1:11" ht="36" customHeight="1" outlineLevel="1" thickBot="1" x14ac:dyDescent="0.45">
      <c r="A77" s="121" t="s">
        <v>150</v>
      </c>
      <c r="B77" s="122" t="s">
        <v>22</v>
      </c>
      <c r="C77" s="97" t="s">
        <v>149</v>
      </c>
      <c r="D77" s="123"/>
      <c r="E77" s="124" t="s">
        <v>22</v>
      </c>
      <c r="F77" s="125"/>
      <c r="G77" s="126"/>
      <c r="H77" s="123"/>
      <c r="I77" s="97"/>
      <c r="J77" s="123"/>
      <c r="K77" s="127"/>
    </row>
    <row r="78" spans="1:11" ht="132.75" customHeight="1" outlineLevel="2" x14ac:dyDescent="0.4">
      <c r="A78" s="41" t="s">
        <v>118</v>
      </c>
      <c r="B78" s="42" t="s">
        <v>22</v>
      </c>
      <c r="C78" s="43"/>
      <c r="D78" s="17"/>
      <c r="E78" s="44" t="s">
        <v>22</v>
      </c>
      <c r="F78" s="16">
        <v>1</v>
      </c>
      <c r="G78" s="45" t="s">
        <v>8</v>
      </c>
      <c r="H78" s="17" t="s">
        <v>1058</v>
      </c>
      <c r="I78" s="43" t="s">
        <v>108</v>
      </c>
      <c r="J78" s="17" t="s">
        <v>63</v>
      </c>
      <c r="K78" s="47" t="s">
        <v>91</v>
      </c>
    </row>
    <row r="79" spans="1:11" ht="108.75" customHeight="1" outlineLevel="2" thickBot="1" x14ac:dyDescent="0.45">
      <c r="A79" s="129" t="s">
        <v>119</v>
      </c>
      <c r="B79" s="49" t="s">
        <v>22</v>
      </c>
      <c r="C79" s="130"/>
      <c r="D79" s="131"/>
      <c r="E79" s="52" t="s">
        <v>22</v>
      </c>
      <c r="F79" s="132">
        <v>1</v>
      </c>
      <c r="G79" s="133" t="s">
        <v>8</v>
      </c>
      <c r="H79" s="51" t="s">
        <v>1060</v>
      </c>
      <c r="I79" s="130" t="s">
        <v>108</v>
      </c>
      <c r="J79" s="131" t="s">
        <v>63</v>
      </c>
      <c r="K79" s="55"/>
    </row>
    <row r="80" spans="1:11" ht="36" customHeight="1" thickBot="1" x14ac:dyDescent="0.45">
      <c r="A80" s="98" t="s">
        <v>255</v>
      </c>
      <c r="B80" s="99" t="s">
        <v>21</v>
      </c>
      <c r="C80" s="100" t="s">
        <v>487</v>
      </c>
      <c r="D80" s="101"/>
      <c r="E80" s="102" t="s">
        <v>401</v>
      </c>
      <c r="F80" s="103"/>
      <c r="G80" s="104"/>
      <c r="H80" s="100"/>
      <c r="I80" s="100"/>
      <c r="J80" s="101"/>
      <c r="K80" s="105"/>
    </row>
    <row r="81" spans="1:11" ht="36" customHeight="1" outlineLevel="1" thickBot="1" x14ac:dyDescent="0.45">
      <c r="A81" s="113" t="s">
        <v>216</v>
      </c>
      <c r="B81" s="114" t="s">
        <v>23</v>
      </c>
      <c r="C81" s="115"/>
      <c r="D81" s="116"/>
      <c r="E81" s="117" t="s">
        <v>23</v>
      </c>
      <c r="F81" s="118">
        <v>3</v>
      </c>
      <c r="G81" s="119" t="s">
        <v>224</v>
      </c>
      <c r="H81" s="115" t="s">
        <v>469</v>
      </c>
      <c r="I81" s="115"/>
      <c r="J81" s="116"/>
      <c r="K81" s="120"/>
    </row>
    <row r="82" spans="1:11" ht="36" customHeight="1" outlineLevel="1" thickBot="1" x14ac:dyDescent="0.45">
      <c r="A82" s="113" t="s">
        <v>75</v>
      </c>
      <c r="B82" s="114" t="s">
        <v>23</v>
      </c>
      <c r="C82" s="115"/>
      <c r="D82" s="116" t="s">
        <v>79</v>
      </c>
      <c r="E82" s="117" t="s">
        <v>23</v>
      </c>
      <c r="F82" s="118">
        <v>3</v>
      </c>
      <c r="G82" s="119" t="s">
        <v>1094</v>
      </c>
      <c r="H82" s="115" t="s">
        <v>1096</v>
      </c>
      <c r="I82" s="115"/>
      <c r="J82" s="116"/>
      <c r="K82" s="120"/>
    </row>
    <row r="83" spans="1:11" ht="36" customHeight="1" outlineLevel="1" thickBot="1" x14ac:dyDescent="0.45">
      <c r="A83" s="113" t="s">
        <v>76</v>
      </c>
      <c r="B83" s="114" t="s">
        <v>23</v>
      </c>
      <c r="C83" s="115"/>
      <c r="D83" s="116"/>
      <c r="E83" s="117" t="s">
        <v>23</v>
      </c>
      <c r="F83" s="118">
        <v>3</v>
      </c>
      <c r="G83" s="119" t="s">
        <v>1094</v>
      </c>
      <c r="H83" s="115" t="s">
        <v>1097</v>
      </c>
      <c r="I83" s="115"/>
      <c r="J83" s="116"/>
      <c r="K83" s="120"/>
    </row>
    <row r="84" spans="1:11" ht="36" customHeight="1" outlineLevel="1" thickBot="1" x14ac:dyDescent="0.45">
      <c r="A84" s="113" t="s">
        <v>116</v>
      </c>
      <c r="B84" s="114" t="s">
        <v>23</v>
      </c>
      <c r="C84" s="115"/>
      <c r="D84" s="116" t="s">
        <v>74</v>
      </c>
      <c r="E84" s="117" t="s">
        <v>23</v>
      </c>
      <c r="F84" s="118">
        <v>3</v>
      </c>
      <c r="G84" s="119" t="s">
        <v>1086</v>
      </c>
      <c r="H84" s="115" t="s">
        <v>1087</v>
      </c>
      <c r="I84" s="115"/>
      <c r="J84" s="116"/>
      <c r="K84" s="120"/>
    </row>
    <row r="85" spans="1:11" ht="36" customHeight="1" outlineLevel="1" thickBot="1" x14ac:dyDescent="0.45">
      <c r="A85" s="113" t="s">
        <v>117</v>
      </c>
      <c r="B85" s="114" t="s">
        <v>23</v>
      </c>
      <c r="C85" s="115"/>
      <c r="D85" s="116"/>
      <c r="E85" s="117" t="s">
        <v>23</v>
      </c>
      <c r="F85" s="118">
        <v>3</v>
      </c>
      <c r="G85" s="119" t="s">
        <v>14</v>
      </c>
      <c r="H85" s="115" t="s">
        <v>13</v>
      </c>
      <c r="I85" s="115"/>
      <c r="J85" s="116"/>
      <c r="K85" s="120"/>
    </row>
    <row r="86" spans="1:11" ht="36" customHeight="1" outlineLevel="1" thickBot="1" x14ac:dyDescent="0.45">
      <c r="A86" s="113" t="s">
        <v>77</v>
      </c>
      <c r="B86" s="114" t="s">
        <v>23</v>
      </c>
      <c r="C86" s="115"/>
      <c r="D86" s="116" t="s">
        <v>73</v>
      </c>
      <c r="E86" s="117" t="s">
        <v>23</v>
      </c>
      <c r="F86" s="118">
        <v>3</v>
      </c>
      <c r="G86" s="119" t="s">
        <v>1083</v>
      </c>
      <c r="H86" s="115" t="s">
        <v>1085</v>
      </c>
      <c r="I86" s="115"/>
      <c r="J86" s="116"/>
      <c r="K86" s="120"/>
    </row>
    <row r="87" spans="1:11" ht="36" customHeight="1" outlineLevel="1" thickBot="1" x14ac:dyDescent="0.45">
      <c r="A87" s="113" t="s">
        <v>78</v>
      </c>
      <c r="B87" s="114" t="s">
        <v>23</v>
      </c>
      <c r="C87" s="115"/>
      <c r="D87" s="116"/>
      <c r="E87" s="117" t="s">
        <v>23</v>
      </c>
      <c r="F87" s="118">
        <v>3</v>
      </c>
      <c r="G87" s="119" t="s">
        <v>1083</v>
      </c>
      <c r="H87" s="115" t="s">
        <v>1088</v>
      </c>
      <c r="I87" s="115"/>
      <c r="J87" s="116"/>
      <c r="K87" s="120"/>
    </row>
    <row r="88" spans="1:11" ht="36" customHeight="1" outlineLevel="1" thickBot="1" x14ac:dyDescent="0.45">
      <c r="A88" s="113" t="s">
        <v>1089</v>
      </c>
      <c r="B88" s="114" t="s">
        <v>23</v>
      </c>
      <c r="C88" s="115"/>
      <c r="D88" s="116" t="s">
        <v>1090</v>
      </c>
      <c r="E88" s="117" t="s">
        <v>23</v>
      </c>
      <c r="F88" s="118">
        <v>3</v>
      </c>
      <c r="G88" s="119" t="s">
        <v>1091</v>
      </c>
      <c r="H88" s="115" t="s">
        <v>1092</v>
      </c>
      <c r="I88" s="115"/>
      <c r="J88" s="116"/>
      <c r="K88" s="120"/>
    </row>
    <row r="89" spans="1:11" s="128" customFormat="1" ht="36" customHeight="1" outlineLevel="1" thickBot="1" x14ac:dyDescent="0.45">
      <c r="A89" s="121" t="s">
        <v>135</v>
      </c>
      <c r="B89" s="122" t="s">
        <v>23</v>
      </c>
      <c r="C89" s="97" t="s">
        <v>136</v>
      </c>
      <c r="D89" s="123"/>
      <c r="E89" s="124" t="s">
        <v>23</v>
      </c>
      <c r="F89" s="125">
        <v>3</v>
      </c>
      <c r="G89" s="126"/>
      <c r="H89" s="97"/>
      <c r="I89" s="97"/>
      <c r="J89" s="123"/>
      <c r="K89" s="127"/>
    </row>
    <row r="90" spans="1:11" ht="36" customHeight="1" outlineLevel="2" thickBot="1" x14ac:dyDescent="0.45">
      <c r="A90" s="113" t="s">
        <v>42</v>
      </c>
      <c r="B90" s="114" t="s">
        <v>23</v>
      </c>
      <c r="C90" s="115"/>
      <c r="D90" s="116"/>
      <c r="E90" s="117" t="s">
        <v>23</v>
      </c>
      <c r="F90" s="118">
        <v>3</v>
      </c>
      <c r="G90" s="119" t="s">
        <v>44</v>
      </c>
      <c r="H90" s="115" t="s">
        <v>45</v>
      </c>
      <c r="I90" s="115"/>
      <c r="J90" s="116"/>
      <c r="K90" s="120"/>
    </row>
    <row r="91" spans="1:11" ht="36" customHeight="1" outlineLevel="2" thickBot="1" x14ac:dyDescent="0.45">
      <c r="A91" s="113" t="s">
        <v>43</v>
      </c>
      <c r="B91" s="114" t="s">
        <v>23</v>
      </c>
      <c r="C91" s="115"/>
      <c r="D91" s="116"/>
      <c r="E91" s="117" t="s">
        <v>23</v>
      </c>
      <c r="F91" s="118">
        <v>3</v>
      </c>
      <c r="G91" s="119" t="s">
        <v>44</v>
      </c>
      <c r="H91" s="115" t="s">
        <v>46</v>
      </c>
      <c r="I91" s="115"/>
      <c r="J91" s="116"/>
      <c r="K91" s="120"/>
    </row>
    <row r="92" spans="1:11" ht="36" customHeight="1" outlineLevel="1" thickBot="1" x14ac:dyDescent="0.45">
      <c r="A92" s="121" t="s">
        <v>150</v>
      </c>
      <c r="B92" s="122" t="s">
        <v>22</v>
      </c>
      <c r="C92" s="97" t="s">
        <v>149</v>
      </c>
      <c r="D92" s="123"/>
      <c r="E92" s="124" t="s">
        <v>22</v>
      </c>
      <c r="F92" s="125"/>
      <c r="G92" s="126"/>
      <c r="H92" s="123"/>
      <c r="I92" s="97"/>
      <c r="J92" s="123"/>
      <c r="K92" s="127"/>
    </row>
    <row r="93" spans="1:11" ht="78.75" customHeight="1" outlineLevel="2" x14ac:dyDescent="0.4">
      <c r="A93" s="41" t="s">
        <v>118</v>
      </c>
      <c r="B93" s="42" t="s">
        <v>22</v>
      </c>
      <c r="C93" s="43"/>
      <c r="D93" s="17"/>
      <c r="E93" s="44" t="s">
        <v>22</v>
      </c>
      <c r="F93" s="16">
        <v>1</v>
      </c>
      <c r="G93" s="45" t="s">
        <v>8</v>
      </c>
      <c r="H93" s="17" t="s">
        <v>1059</v>
      </c>
      <c r="I93" s="43" t="s">
        <v>108</v>
      </c>
      <c r="J93" s="17" t="s">
        <v>63</v>
      </c>
      <c r="K93" s="47" t="s">
        <v>91</v>
      </c>
    </row>
    <row r="94" spans="1:11" ht="74.25" customHeight="1" outlineLevel="2" thickBot="1" x14ac:dyDescent="0.45">
      <c r="A94" s="129" t="s">
        <v>119</v>
      </c>
      <c r="B94" s="49" t="s">
        <v>22</v>
      </c>
      <c r="C94" s="130"/>
      <c r="D94" s="131"/>
      <c r="E94" s="52" t="s">
        <v>22</v>
      </c>
      <c r="F94" s="132">
        <v>1</v>
      </c>
      <c r="G94" s="133" t="s">
        <v>8</v>
      </c>
      <c r="H94" s="51" t="s">
        <v>1060</v>
      </c>
      <c r="I94" s="130" t="s">
        <v>108</v>
      </c>
      <c r="J94" s="131" t="s">
        <v>63</v>
      </c>
      <c r="K94" s="55"/>
    </row>
    <row r="95" spans="1:11" ht="36" customHeight="1" thickBot="1" x14ac:dyDescent="0.45">
      <c r="A95" s="98" t="s">
        <v>100</v>
      </c>
      <c r="B95" s="99" t="s">
        <v>21</v>
      </c>
      <c r="C95" s="100" t="s">
        <v>548</v>
      </c>
      <c r="D95" s="101"/>
      <c r="E95" s="102" t="s">
        <v>401</v>
      </c>
      <c r="F95" s="103"/>
      <c r="G95" s="104"/>
      <c r="H95" s="100"/>
      <c r="I95" s="100"/>
      <c r="J95" s="101"/>
      <c r="K95" s="105"/>
    </row>
    <row r="96" spans="1:11" ht="36" customHeight="1" outlineLevel="1" thickBot="1" x14ac:dyDescent="0.45">
      <c r="A96" s="113" t="s">
        <v>120</v>
      </c>
      <c r="B96" s="114" t="s">
        <v>22</v>
      </c>
      <c r="C96" s="115"/>
      <c r="D96" s="116"/>
      <c r="E96" s="117" t="s">
        <v>22</v>
      </c>
      <c r="F96" s="118">
        <v>1</v>
      </c>
      <c r="G96" s="119" t="s">
        <v>8</v>
      </c>
      <c r="H96" s="116" t="s">
        <v>185</v>
      </c>
      <c r="I96" s="115" t="s">
        <v>108</v>
      </c>
      <c r="J96" s="116"/>
      <c r="K96" s="120"/>
    </row>
    <row r="97" spans="1:11" ht="36" customHeight="1" outlineLevel="1" thickBot="1" x14ac:dyDescent="0.45">
      <c r="A97" s="121" t="s">
        <v>184</v>
      </c>
      <c r="B97" s="122" t="s">
        <v>23</v>
      </c>
      <c r="C97" s="97" t="s">
        <v>488</v>
      </c>
      <c r="D97" s="123"/>
      <c r="E97" s="124" t="s">
        <v>23</v>
      </c>
      <c r="F97" s="125"/>
      <c r="G97" s="126"/>
      <c r="H97" s="97"/>
      <c r="I97" s="97"/>
      <c r="J97" s="123"/>
      <c r="K97" s="127"/>
    </row>
    <row r="98" spans="1:11" ht="36" customHeight="1" outlineLevel="2" x14ac:dyDescent="0.4">
      <c r="A98" s="41" t="s">
        <v>121</v>
      </c>
      <c r="B98" s="42" t="s">
        <v>23</v>
      </c>
      <c r="C98" s="43"/>
      <c r="D98" s="17"/>
      <c r="E98" s="44" t="s">
        <v>23</v>
      </c>
      <c r="F98" s="16">
        <v>3</v>
      </c>
      <c r="G98" s="45" t="s">
        <v>80</v>
      </c>
      <c r="H98" s="43" t="s">
        <v>186</v>
      </c>
      <c r="I98" s="43" t="s">
        <v>126</v>
      </c>
      <c r="J98" s="17" t="s">
        <v>63</v>
      </c>
      <c r="K98" s="47"/>
    </row>
    <row r="99" spans="1:11" ht="36" customHeight="1" outlineLevel="2" x14ac:dyDescent="0.4">
      <c r="A99" s="41" t="s">
        <v>122</v>
      </c>
      <c r="B99" s="42" t="s">
        <v>23</v>
      </c>
      <c r="C99" s="43"/>
      <c r="D99" s="17"/>
      <c r="E99" s="44" t="s">
        <v>23</v>
      </c>
      <c r="F99" s="16">
        <v>3</v>
      </c>
      <c r="G99" s="45" t="s">
        <v>15</v>
      </c>
      <c r="H99" s="43" t="s">
        <v>489</v>
      </c>
      <c r="I99" s="43" t="s">
        <v>108</v>
      </c>
      <c r="J99" s="17" t="s">
        <v>63</v>
      </c>
      <c r="K99" s="47"/>
    </row>
    <row r="100" spans="1:11" ht="36" customHeight="1" outlineLevel="2" x14ac:dyDescent="0.4">
      <c r="A100" s="41" t="s">
        <v>123</v>
      </c>
      <c r="B100" s="42" t="s">
        <v>23</v>
      </c>
      <c r="C100" s="43"/>
      <c r="D100" s="17"/>
      <c r="E100" s="44" t="s">
        <v>23</v>
      </c>
      <c r="F100" s="16">
        <v>3</v>
      </c>
      <c r="G100" s="45" t="s">
        <v>15</v>
      </c>
      <c r="H100" s="43" t="s">
        <v>489</v>
      </c>
      <c r="I100" s="43" t="s">
        <v>108</v>
      </c>
      <c r="J100" s="17" t="s">
        <v>63</v>
      </c>
      <c r="K100" s="47"/>
    </row>
    <row r="101" spans="1:11" ht="36" customHeight="1" outlineLevel="2" thickBot="1" x14ac:dyDescent="0.45">
      <c r="A101" s="48" t="s">
        <v>124</v>
      </c>
      <c r="B101" s="49" t="s">
        <v>23</v>
      </c>
      <c r="C101" s="50"/>
      <c r="D101" s="51"/>
      <c r="E101" s="52" t="s">
        <v>23</v>
      </c>
      <c r="F101" s="53">
        <v>3</v>
      </c>
      <c r="G101" s="54" t="s">
        <v>15</v>
      </c>
      <c r="H101" s="51" t="s">
        <v>489</v>
      </c>
      <c r="I101" s="50" t="s">
        <v>108</v>
      </c>
      <c r="J101" s="51" t="s">
        <v>63</v>
      </c>
      <c r="K101" s="55"/>
    </row>
    <row r="102" spans="1:11" ht="36" customHeight="1" thickBot="1" x14ac:dyDescent="0.45">
      <c r="A102" s="98" t="s">
        <v>125</v>
      </c>
      <c r="B102" s="99" t="s">
        <v>21</v>
      </c>
      <c r="C102" s="100" t="s">
        <v>490</v>
      </c>
      <c r="D102" s="101"/>
      <c r="E102" s="102" t="s">
        <v>401</v>
      </c>
      <c r="F102" s="103"/>
      <c r="G102" s="104"/>
      <c r="H102" s="100"/>
      <c r="I102" s="100"/>
      <c r="J102" s="101"/>
      <c r="K102" s="105"/>
    </row>
    <row r="103" spans="1:11" ht="36" customHeight="1" outlineLevel="1" thickBot="1" x14ac:dyDescent="0.45">
      <c r="A103" s="113" t="s">
        <v>195</v>
      </c>
      <c r="B103" s="114" t="s">
        <v>22</v>
      </c>
      <c r="C103" s="115"/>
      <c r="D103" s="116"/>
      <c r="E103" s="117" t="s">
        <v>22</v>
      </c>
      <c r="F103" s="118">
        <v>1</v>
      </c>
      <c r="G103" s="119" t="s">
        <v>8</v>
      </c>
      <c r="H103" s="116" t="s">
        <v>491</v>
      </c>
      <c r="I103" s="115" t="s">
        <v>108</v>
      </c>
      <c r="J103" s="116"/>
      <c r="K103" s="120"/>
    </row>
    <row r="104" spans="1:11" ht="36" customHeight="1" outlineLevel="1" thickBot="1" x14ac:dyDescent="0.45">
      <c r="A104" s="113" t="s">
        <v>183</v>
      </c>
      <c r="B104" s="114" t="s">
        <v>23</v>
      </c>
      <c r="C104" s="115"/>
      <c r="D104" s="116"/>
      <c r="E104" s="117" t="s">
        <v>23</v>
      </c>
      <c r="F104" s="118">
        <v>3</v>
      </c>
      <c r="G104" s="119" t="s">
        <v>84</v>
      </c>
      <c r="H104" s="115" t="s">
        <v>492</v>
      </c>
      <c r="I104" s="115" t="s">
        <v>108</v>
      </c>
      <c r="J104" s="116"/>
      <c r="K104" s="120"/>
    </row>
    <row r="105" spans="1:11" ht="36" customHeight="1" thickBot="1" x14ac:dyDescent="0.45">
      <c r="A105" s="134" t="s">
        <v>16</v>
      </c>
      <c r="B105" s="135" t="s">
        <v>23</v>
      </c>
      <c r="C105" s="136"/>
      <c r="D105" s="137"/>
      <c r="E105" s="138" t="s">
        <v>23</v>
      </c>
      <c r="F105" s="139">
        <v>3</v>
      </c>
      <c r="G105" s="140" t="s">
        <v>213</v>
      </c>
      <c r="H105" s="136" t="s">
        <v>231</v>
      </c>
      <c r="I105" s="136"/>
      <c r="J105" s="137"/>
      <c r="K105" s="141" t="s">
        <v>86</v>
      </c>
    </row>
    <row r="106" spans="1:11" ht="36" customHeight="1" thickBot="1" x14ac:dyDescent="0.45">
      <c r="A106" s="134" t="s">
        <v>17</v>
      </c>
      <c r="B106" s="135" t="s">
        <v>23</v>
      </c>
      <c r="C106" s="136"/>
      <c r="D106" s="137"/>
      <c r="E106" s="138" t="s">
        <v>23</v>
      </c>
      <c r="F106" s="139">
        <v>3</v>
      </c>
      <c r="G106" s="140" t="s">
        <v>213</v>
      </c>
      <c r="H106" s="136" t="s">
        <v>236</v>
      </c>
      <c r="I106" s="136"/>
      <c r="J106" s="137"/>
      <c r="K106" s="141" t="s">
        <v>86</v>
      </c>
    </row>
    <row r="107" spans="1:11" ht="36" customHeight="1" thickBot="1" x14ac:dyDescent="0.45">
      <c r="A107" s="134" t="s">
        <v>18</v>
      </c>
      <c r="B107" s="135" t="s">
        <v>23</v>
      </c>
      <c r="C107" s="136"/>
      <c r="D107" s="137"/>
      <c r="E107" s="138" t="s">
        <v>23</v>
      </c>
      <c r="F107" s="139">
        <v>3</v>
      </c>
      <c r="G107" s="140" t="s">
        <v>213</v>
      </c>
      <c r="H107" s="136" t="s">
        <v>232</v>
      </c>
      <c r="I107" s="136"/>
      <c r="J107" s="137"/>
      <c r="K107" s="141" t="s">
        <v>86</v>
      </c>
    </row>
    <row r="108" spans="1:11" ht="36" customHeight="1" thickBot="1" x14ac:dyDescent="0.45">
      <c r="A108" s="134" t="s">
        <v>19</v>
      </c>
      <c r="B108" s="135" t="s">
        <v>23</v>
      </c>
      <c r="C108" s="136"/>
      <c r="D108" s="137"/>
      <c r="E108" s="138" t="s">
        <v>23</v>
      </c>
      <c r="F108" s="139">
        <v>3</v>
      </c>
      <c r="G108" s="140" t="s">
        <v>213</v>
      </c>
      <c r="H108" s="136" t="s">
        <v>237</v>
      </c>
      <c r="I108" s="136"/>
      <c r="J108" s="137"/>
      <c r="K108" s="141" t="s">
        <v>86</v>
      </c>
    </row>
    <row r="109" spans="1:11" ht="36" customHeight="1" thickBot="1" x14ac:dyDescent="0.45">
      <c r="A109" s="134" t="s">
        <v>97</v>
      </c>
      <c r="B109" s="135" t="s">
        <v>23</v>
      </c>
      <c r="C109" s="136"/>
      <c r="D109" s="137"/>
      <c r="E109" s="138" t="s">
        <v>23</v>
      </c>
      <c r="F109" s="139">
        <v>3</v>
      </c>
      <c r="G109" s="140" t="s">
        <v>213</v>
      </c>
      <c r="H109" s="136" t="s">
        <v>233</v>
      </c>
      <c r="I109" s="136"/>
      <c r="J109" s="137"/>
      <c r="K109" s="141" t="s">
        <v>86</v>
      </c>
    </row>
    <row r="110" spans="1:11" ht="36" customHeight="1" thickBot="1" x14ac:dyDescent="0.45">
      <c r="A110" s="134" t="s">
        <v>151</v>
      </c>
      <c r="B110" s="135" t="s">
        <v>23</v>
      </c>
      <c r="C110" s="136"/>
      <c r="D110" s="137"/>
      <c r="E110" s="138" t="s">
        <v>23</v>
      </c>
      <c r="F110" s="139">
        <v>3</v>
      </c>
      <c r="G110" s="140" t="s">
        <v>213</v>
      </c>
      <c r="H110" s="136" t="s">
        <v>238</v>
      </c>
      <c r="I110" s="136"/>
      <c r="J110" s="137"/>
      <c r="K110" s="141" t="s">
        <v>86</v>
      </c>
    </row>
    <row r="111" spans="1:11" ht="36" customHeight="1" thickBot="1" x14ac:dyDescent="0.45">
      <c r="A111" s="134" t="s">
        <v>101</v>
      </c>
      <c r="B111" s="135" t="s">
        <v>23</v>
      </c>
      <c r="C111" s="136"/>
      <c r="D111" s="137"/>
      <c r="E111" s="138" t="s">
        <v>23</v>
      </c>
      <c r="F111" s="139">
        <v>3</v>
      </c>
      <c r="G111" s="140" t="s">
        <v>213</v>
      </c>
      <c r="H111" s="136" t="s">
        <v>234</v>
      </c>
      <c r="I111" s="136"/>
      <c r="J111" s="137"/>
      <c r="K111" s="141" t="s">
        <v>86</v>
      </c>
    </row>
    <row r="112" spans="1:11" ht="36" customHeight="1" thickBot="1" x14ac:dyDescent="0.45">
      <c r="A112" s="134" t="s">
        <v>152</v>
      </c>
      <c r="B112" s="135" t="s">
        <v>23</v>
      </c>
      <c r="C112" s="136"/>
      <c r="D112" s="137"/>
      <c r="E112" s="138" t="s">
        <v>23</v>
      </c>
      <c r="F112" s="139">
        <v>3</v>
      </c>
      <c r="G112" s="140" t="s">
        <v>213</v>
      </c>
      <c r="H112" s="136" t="s">
        <v>239</v>
      </c>
      <c r="I112" s="136"/>
      <c r="J112" s="137"/>
      <c r="K112" s="141" t="s">
        <v>86</v>
      </c>
    </row>
    <row r="113" spans="1:11" ht="36" customHeight="1" thickBot="1" x14ac:dyDescent="0.45">
      <c r="A113" s="134" t="s">
        <v>102</v>
      </c>
      <c r="B113" s="135" t="s">
        <v>23</v>
      </c>
      <c r="C113" s="136"/>
      <c r="D113" s="137"/>
      <c r="E113" s="138" t="s">
        <v>23</v>
      </c>
      <c r="F113" s="139">
        <v>3</v>
      </c>
      <c r="G113" s="140" t="s">
        <v>213</v>
      </c>
      <c r="H113" s="136" t="s">
        <v>235</v>
      </c>
      <c r="I113" s="136"/>
      <c r="J113" s="137"/>
      <c r="K113" s="141" t="s">
        <v>86</v>
      </c>
    </row>
    <row r="114" spans="1:11" ht="36" customHeight="1" thickBot="1" x14ac:dyDescent="0.45">
      <c r="A114" s="134" t="s">
        <v>153</v>
      </c>
      <c r="B114" s="135" t="s">
        <v>23</v>
      </c>
      <c r="C114" s="136"/>
      <c r="D114" s="137"/>
      <c r="E114" s="138" t="s">
        <v>23</v>
      </c>
      <c r="F114" s="139">
        <v>3</v>
      </c>
      <c r="G114" s="140" t="s">
        <v>213</v>
      </c>
      <c r="H114" s="136" t="s">
        <v>240</v>
      </c>
      <c r="I114" s="136"/>
      <c r="J114" s="137"/>
      <c r="K114" s="141" t="s">
        <v>86</v>
      </c>
    </row>
    <row r="115" spans="1:11" ht="36" customHeight="1" thickBot="1" x14ac:dyDescent="0.45">
      <c r="A115" s="81" t="s">
        <v>217</v>
      </c>
      <c r="B115" s="82" t="s">
        <v>23</v>
      </c>
      <c r="C115" s="136"/>
      <c r="D115" s="84"/>
      <c r="E115" s="85" t="s">
        <v>23</v>
      </c>
      <c r="F115" s="139">
        <v>3</v>
      </c>
      <c r="G115" s="87" t="s">
        <v>213</v>
      </c>
      <c r="H115" s="83" t="s">
        <v>218</v>
      </c>
      <c r="I115" s="136"/>
      <c r="J115" s="84"/>
      <c r="K115" s="88"/>
    </row>
    <row r="116" spans="1:11" ht="36" customHeight="1" thickBot="1" x14ac:dyDescent="0.45">
      <c r="A116" s="134" t="s">
        <v>105</v>
      </c>
      <c r="B116" s="135" t="s">
        <v>23</v>
      </c>
      <c r="C116" s="83" t="s">
        <v>87</v>
      </c>
      <c r="D116" s="137"/>
      <c r="E116" s="138" t="s">
        <v>23</v>
      </c>
      <c r="F116" s="86">
        <v>3</v>
      </c>
      <c r="G116" s="140" t="s">
        <v>221</v>
      </c>
      <c r="H116" s="136" t="s">
        <v>220</v>
      </c>
      <c r="I116" s="83"/>
      <c r="J116" s="137"/>
      <c r="K116" s="141" t="s">
        <v>86</v>
      </c>
    </row>
    <row r="117" spans="1:11" ht="36" customHeight="1" thickBot="1" x14ac:dyDescent="0.45">
      <c r="A117" s="142" t="s">
        <v>256</v>
      </c>
      <c r="B117" s="143" t="s">
        <v>21</v>
      </c>
      <c r="C117" s="100" t="s">
        <v>493</v>
      </c>
      <c r="D117" s="144"/>
      <c r="E117" s="145" t="s">
        <v>401</v>
      </c>
      <c r="F117" s="94"/>
      <c r="G117" s="146"/>
      <c r="H117" s="147"/>
      <c r="I117" s="91"/>
      <c r="J117" s="144"/>
      <c r="K117" s="148"/>
    </row>
    <row r="118" spans="1:11" ht="36" customHeight="1" outlineLevel="1" thickBot="1" x14ac:dyDescent="0.45">
      <c r="A118" s="149" t="s">
        <v>88</v>
      </c>
      <c r="B118" s="150" t="s">
        <v>22</v>
      </c>
      <c r="C118" s="115"/>
      <c r="D118" s="151"/>
      <c r="E118" s="152" t="s">
        <v>22</v>
      </c>
      <c r="F118" s="118">
        <v>1</v>
      </c>
      <c r="G118" s="153" t="s">
        <v>8</v>
      </c>
      <c r="H118" s="151" t="s">
        <v>28</v>
      </c>
      <c r="I118" s="115"/>
      <c r="J118" s="151"/>
      <c r="K118" s="155"/>
    </row>
    <row r="119" spans="1:11" ht="36" customHeight="1" outlineLevel="1" thickBot="1" x14ac:dyDescent="0.45">
      <c r="A119" s="149" t="s">
        <v>174</v>
      </c>
      <c r="B119" s="150" t="s">
        <v>23</v>
      </c>
      <c r="C119" s="115"/>
      <c r="D119" s="151"/>
      <c r="E119" s="152" t="s">
        <v>23</v>
      </c>
      <c r="F119" s="118">
        <v>3</v>
      </c>
      <c r="G119" s="153" t="s">
        <v>84</v>
      </c>
      <c r="H119" s="154" t="s">
        <v>93</v>
      </c>
      <c r="I119" s="115"/>
      <c r="J119" s="151"/>
      <c r="K119" s="155"/>
    </row>
    <row r="120" spans="1:11" ht="36" customHeight="1" thickBot="1" x14ac:dyDescent="0.45">
      <c r="A120" s="142" t="s">
        <v>254</v>
      </c>
      <c r="B120" s="143" t="s">
        <v>21</v>
      </c>
      <c r="C120" s="100" t="s">
        <v>494</v>
      </c>
      <c r="D120" s="144"/>
      <c r="E120" s="145" t="s">
        <v>401</v>
      </c>
      <c r="F120" s="94"/>
      <c r="G120" s="146"/>
      <c r="H120" s="147"/>
      <c r="I120" s="91"/>
      <c r="J120" s="144"/>
      <c r="K120" s="148"/>
    </row>
    <row r="121" spans="1:11" ht="36" customHeight="1" outlineLevel="1" thickBot="1" x14ac:dyDescent="0.45">
      <c r="A121" s="33" t="s">
        <v>89</v>
      </c>
      <c r="B121" s="34" t="s">
        <v>22</v>
      </c>
      <c r="C121" s="35" t="s">
        <v>127</v>
      </c>
      <c r="D121" s="36"/>
      <c r="E121" s="37" t="s">
        <v>22</v>
      </c>
      <c r="F121" s="38"/>
      <c r="G121" s="39"/>
      <c r="H121" s="36"/>
      <c r="I121" s="35"/>
      <c r="J121" s="36"/>
      <c r="K121" s="40"/>
    </row>
    <row r="122" spans="1:11" ht="36" customHeight="1" outlineLevel="2" x14ac:dyDescent="0.4">
      <c r="A122" s="41" t="s">
        <v>128</v>
      </c>
      <c r="B122" s="42" t="s">
        <v>22</v>
      </c>
      <c r="C122" s="43"/>
      <c r="D122" s="17"/>
      <c r="E122" s="44" t="s">
        <v>22</v>
      </c>
      <c r="F122" s="16">
        <v>1</v>
      </c>
      <c r="G122" s="45" t="s">
        <v>8</v>
      </c>
      <c r="H122" s="17" t="s">
        <v>495</v>
      </c>
      <c r="I122" s="43"/>
      <c r="J122" s="17" t="s">
        <v>63</v>
      </c>
      <c r="K122" s="47"/>
    </row>
    <row r="123" spans="1:11" ht="36" customHeight="1" outlineLevel="2" thickBot="1" x14ac:dyDescent="0.45">
      <c r="A123" s="48" t="s">
        <v>129</v>
      </c>
      <c r="B123" s="49" t="s">
        <v>22</v>
      </c>
      <c r="C123" s="50"/>
      <c r="D123" s="51"/>
      <c r="E123" s="52" t="s">
        <v>22</v>
      </c>
      <c r="F123" s="53">
        <v>1</v>
      </c>
      <c r="G123" s="54" t="s">
        <v>8</v>
      </c>
      <c r="H123" s="51" t="s">
        <v>496</v>
      </c>
      <c r="I123" s="50"/>
      <c r="J123" s="51" t="s">
        <v>63</v>
      </c>
      <c r="K123" s="55"/>
    </row>
    <row r="124" spans="1:11" ht="36" customHeight="1" outlineLevel="1" thickBot="1" x14ac:dyDescent="0.45">
      <c r="A124" s="156" t="s">
        <v>175</v>
      </c>
      <c r="B124" s="157" t="s">
        <v>23</v>
      </c>
      <c r="C124" s="158"/>
      <c r="D124" s="159"/>
      <c r="E124" s="160" t="s">
        <v>23</v>
      </c>
      <c r="F124" s="161">
        <v>3</v>
      </c>
      <c r="G124" s="162" t="s">
        <v>24</v>
      </c>
      <c r="H124" s="163" t="s">
        <v>26</v>
      </c>
      <c r="I124" s="158"/>
      <c r="J124" s="159"/>
      <c r="K124" s="164"/>
    </row>
    <row r="125" spans="1:11" ht="36" customHeight="1" thickBot="1" x14ac:dyDescent="0.45">
      <c r="A125" s="142" t="s">
        <v>257</v>
      </c>
      <c r="B125" s="143" t="s">
        <v>21</v>
      </c>
      <c r="C125" s="100" t="s">
        <v>497</v>
      </c>
      <c r="D125" s="144"/>
      <c r="E125" s="145" t="s">
        <v>401</v>
      </c>
      <c r="F125" s="94"/>
      <c r="G125" s="146"/>
      <c r="H125" s="147"/>
      <c r="I125" s="91"/>
      <c r="J125" s="144"/>
      <c r="K125" s="148"/>
    </row>
    <row r="126" spans="1:11" ht="36" customHeight="1" outlineLevel="1" thickBot="1" x14ac:dyDescent="0.45">
      <c r="A126" s="149" t="s">
        <v>90</v>
      </c>
      <c r="B126" s="150" t="s">
        <v>22</v>
      </c>
      <c r="C126" s="154"/>
      <c r="D126" s="151"/>
      <c r="E126" s="152" t="s">
        <v>22</v>
      </c>
      <c r="F126" s="165">
        <v>1</v>
      </c>
      <c r="G126" s="153" t="s">
        <v>8</v>
      </c>
      <c r="H126" s="151" t="s">
        <v>29</v>
      </c>
      <c r="I126" s="154"/>
      <c r="J126" s="151"/>
      <c r="K126" s="155"/>
    </row>
    <row r="127" spans="1:11" ht="36" customHeight="1" outlineLevel="1" thickBot="1" x14ac:dyDescent="0.45">
      <c r="A127" s="149" t="s">
        <v>222</v>
      </c>
      <c r="B127" s="150" t="s">
        <v>23</v>
      </c>
      <c r="C127" s="154"/>
      <c r="D127" s="151"/>
      <c r="E127" s="152" t="s">
        <v>23</v>
      </c>
      <c r="F127" s="165">
        <v>3</v>
      </c>
      <c r="G127" s="153" t="s">
        <v>611</v>
      </c>
      <c r="H127" s="273" t="s">
        <v>639</v>
      </c>
      <c r="I127" s="154"/>
      <c r="J127" s="151"/>
      <c r="K127" s="155"/>
    </row>
    <row r="128" spans="1:11" ht="36" customHeight="1" thickBot="1" x14ac:dyDescent="0.45">
      <c r="A128" s="134" t="s">
        <v>176</v>
      </c>
      <c r="B128" s="135" t="s">
        <v>23</v>
      </c>
      <c r="C128" s="136"/>
      <c r="D128" s="137"/>
      <c r="E128" s="138" t="s">
        <v>23</v>
      </c>
      <c r="F128" s="139">
        <v>3</v>
      </c>
      <c r="G128" s="140" t="s">
        <v>25</v>
      </c>
      <c r="H128" s="136" t="s">
        <v>27</v>
      </c>
      <c r="I128" s="136"/>
      <c r="J128" s="137"/>
      <c r="K128" s="141"/>
    </row>
    <row r="129" spans="1:11" ht="36" customHeight="1" thickBot="1" x14ac:dyDescent="0.45">
      <c r="A129" s="134" t="s">
        <v>30</v>
      </c>
      <c r="B129" s="135" t="s">
        <v>130</v>
      </c>
      <c r="C129" s="136" t="s">
        <v>31</v>
      </c>
      <c r="D129" s="137"/>
      <c r="E129" s="138" t="s">
        <v>402</v>
      </c>
      <c r="F129" s="139">
        <v>7</v>
      </c>
      <c r="G129" s="140" t="s">
        <v>32</v>
      </c>
      <c r="H129" s="136" t="s">
        <v>616</v>
      </c>
      <c r="I129" s="136"/>
      <c r="J129" s="137"/>
      <c r="K129" s="141"/>
    </row>
    <row r="130" spans="1:11" ht="36" customHeight="1" thickBot="1" x14ac:dyDescent="0.45">
      <c r="A130" s="134" t="s">
        <v>33</v>
      </c>
      <c r="B130" s="135" t="s">
        <v>131</v>
      </c>
      <c r="C130" s="136" t="s">
        <v>34</v>
      </c>
      <c r="D130" s="137"/>
      <c r="E130" s="138" t="s">
        <v>35</v>
      </c>
      <c r="F130" s="139">
        <v>9</v>
      </c>
      <c r="G130" s="140" t="s">
        <v>35</v>
      </c>
      <c r="H130" s="136" t="s">
        <v>634</v>
      </c>
      <c r="I130" s="136" t="s">
        <v>609</v>
      </c>
      <c r="J130" s="137"/>
      <c r="K130" s="141"/>
    </row>
    <row r="131" spans="1:11" ht="36" customHeight="1" thickBot="1" x14ac:dyDescent="0.45">
      <c r="A131" s="142" t="s">
        <v>178</v>
      </c>
      <c r="B131" s="143" t="s">
        <v>21</v>
      </c>
      <c r="C131" s="147" t="s">
        <v>207</v>
      </c>
      <c r="D131" s="144"/>
      <c r="E131" s="145" t="s">
        <v>401</v>
      </c>
      <c r="F131" s="166"/>
      <c r="G131" s="146" t="s">
        <v>173</v>
      </c>
      <c r="H131" s="147"/>
      <c r="I131" s="147"/>
      <c r="J131" s="144"/>
      <c r="K131" s="148"/>
    </row>
    <row r="132" spans="1:11" ht="36" customHeight="1" outlineLevel="1" thickBot="1" x14ac:dyDescent="0.45">
      <c r="A132" s="149" t="s">
        <v>199</v>
      </c>
      <c r="B132" s="150" t="s">
        <v>22</v>
      </c>
      <c r="C132" s="154" t="s">
        <v>36</v>
      </c>
      <c r="D132" s="151"/>
      <c r="E132" s="152" t="s">
        <v>22</v>
      </c>
      <c r="F132" s="165">
        <v>1</v>
      </c>
      <c r="G132" s="153" t="s">
        <v>8</v>
      </c>
      <c r="H132" s="151" t="s">
        <v>498</v>
      </c>
      <c r="I132" s="154" t="s">
        <v>107</v>
      </c>
      <c r="J132" s="151"/>
      <c r="K132" s="155"/>
    </row>
    <row r="133" spans="1:11" ht="36" customHeight="1" outlineLevel="1" thickBot="1" x14ac:dyDescent="0.45">
      <c r="A133" s="149" t="s">
        <v>189</v>
      </c>
      <c r="B133" s="150" t="s">
        <v>23</v>
      </c>
      <c r="C133" s="154" t="s">
        <v>36</v>
      </c>
      <c r="D133" s="151"/>
      <c r="E133" s="152" t="s">
        <v>23</v>
      </c>
      <c r="F133" s="165">
        <v>3</v>
      </c>
      <c r="G133" s="153" t="s">
        <v>15</v>
      </c>
      <c r="H133" s="154" t="s">
        <v>499</v>
      </c>
      <c r="I133" s="154" t="s">
        <v>107</v>
      </c>
      <c r="J133" s="151"/>
      <c r="K133" s="155"/>
    </row>
    <row r="134" spans="1:11" ht="47.25" customHeight="1" thickBot="1" x14ac:dyDescent="0.45">
      <c r="A134" s="167" t="s">
        <v>177</v>
      </c>
      <c r="B134" s="168" t="s">
        <v>21</v>
      </c>
      <c r="C134" s="169" t="s">
        <v>146</v>
      </c>
      <c r="D134" s="170"/>
      <c r="E134" s="171" t="s">
        <v>401</v>
      </c>
      <c r="F134" s="172"/>
      <c r="G134" s="173" t="s">
        <v>37</v>
      </c>
      <c r="H134" s="169"/>
      <c r="I134" s="169"/>
      <c r="J134" s="170"/>
      <c r="K134" s="174"/>
    </row>
    <row r="135" spans="1:11" ht="36" customHeight="1" outlineLevel="1" thickBot="1" x14ac:dyDescent="0.45">
      <c r="A135" s="33" t="s">
        <v>187</v>
      </c>
      <c r="B135" s="34" t="s">
        <v>23</v>
      </c>
      <c r="C135" s="35" t="s">
        <v>500</v>
      </c>
      <c r="D135" s="36"/>
      <c r="E135" s="37" t="s">
        <v>23</v>
      </c>
      <c r="F135" s="38"/>
      <c r="G135" s="39"/>
      <c r="H135" s="35"/>
      <c r="I135" s="35"/>
      <c r="J135" s="36"/>
      <c r="K135" s="40"/>
    </row>
    <row r="136" spans="1:11" ht="36" customHeight="1" outlineLevel="1" thickBot="1" x14ac:dyDescent="0.45">
      <c r="A136" s="33" t="s">
        <v>196</v>
      </c>
      <c r="B136" s="34" t="s">
        <v>22</v>
      </c>
      <c r="C136" s="35" t="s">
        <v>501</v>
      </c>
      <c r="D136" s="36"/>
      <c r="E136" s="37" t="s">
        <v>22</v>
      </c>
      <c r="F136" s="38"/>
      <c r="G136" s="39"/>
      <c r="H136" s="36"/>
      <c r="I136" s="35"/>
      <c r="J136" s="36"/>
      <c r="K136" s="40"/>
    </row>
    <row r="137" spans="1:11" ht="36" customHeight="1" thickBot="1" x14ac:dyDescent="0.45">
      <c r="A137" s="89" t="s">
        <v>148</v>
      </c>
      <c r="B137" s="90" t="s">
        <v>21</v>
      </c>
      <c r="C137" s="91" t="s">
        <v>502</v>
      </c>
      <c r="D137" s="92"/>
      <c r="E137" s="93" t="s">
        <v>401</v>
      </c>
      <c r="F137" s="94"/>
      <c r="G137" s="95" t="str">
        <f>G138&amp;" / "&amp;G139</f>
        <v>DIOPS / ses_balanço</v>
      </c>
      <c r="H137" s="91"/>
      <c r="I137" s="91"/>
      <c r="J137" s="92"/>
      <c r="K137" s="96"/>
    </row>
    <row r="138" spans="1:11" ht="36" customHeight="1" outlineLevel="1" thickBot="1" x14ac:dyDescent="0.45">
      <c r="A138" s="113" t="s">
        <v>197</v>
      </c>
      <c r="B138" s="114" t="s">
        <v>22</v>
      </c>
      <c r="C138" s="115" t="s">
        <v>38</v>
      </c>
      <c r="D138" s="116"/>
      <c r="E138" s="117" t="s">
        <v>22</v>
      </c>
      <c r="F138" s="118">
        <v>1</v>
      </c>
      <c r="G138" s="119" t="s">
        <v>8</v>
      </c>
      <c r="H138" s="116" t="s">
        <v>198</v>
      </c>
      <c r="I138" s="115" t="s">
        <v>107</v>
      </c>
      <c r="J138" s="116"/>
      <c r="K138" s="120"/>
    </row>
    <row r="139" spans="1:11" ht="36" customHeight="1" outlineLevel="1" thickBot="1" x14ac:dyDescent="0.45">
      <c r="A139" s="113" t="s">
        <v>503</v>
      </c>
      <c r="B139" s="114" t="s">
        <v>23</v>
      </c>
      <c r="C139" s="115" t="s">
        <v>38</v>
      </c>
      <c r="D139" s="116"/>
      <c r="E139" s="117" t="s">
        <v>23</v>
      </c>
      <c r="F139" s="118">
        <v>3</v>
      </c>
      <c r="G139" s="119" t="s">
        <v>15</v>
      </c>
      <c r="H139" s="115" t="s">
        <v>188</v>
      </c>
      <c r="I139" s="115" t="s">
        <v>107</v>
      </c>
      <c r="J139" s="116"/>
      <c r="K139" s="120"/>
    </row>
    <row r="140" spans="1:11" ht="35.25" customHeight="1" thickBot="1" x14ac:dyDescent="0.45">
      <c r="A140" s="89" t="s">
        <v>132</v>
      </c>
      <c r="B140" s="90" t="s">
        <v>21</v>
      </c>
      <c r="C140" s="91" t="s">
        <v>504</v>
      </c>
      <c r="D140" s="92"/>
      <c r="E140" s="93" t="s">
        <v>401</v>
      </c>
      <c r="F140" s="94"/>
      <c r="G140" s="95"/>
      <c r="H140" s="91"/>
      <c r="I140" s="91"/>
      <c r="J140" s="92"/>
      <c r="K140" s="96"/>
    </row>
    <row r="141" spans="1:11" ht="36" customHeight="1" outlineLevel="1" thickBot="1" x14ac:dyDescent="0.45">
      <c r="A141" s="113" t="s">
        <v>85</v>
      </c>
      <c r="B141" s="114" t="s">
        <v>22</v>
      </c>
      <c r="C141" s="115"/>
      <c r="D141" s="116"/>
      <c r="E141" s="117" t="s">
        <v>22</v>
      </c>
      <c r="F141" s="118">
        <v>1</v>
      </c>
      <c r="G141" s="119" t="s">
        <v>8</v>
      </c>
      <c r="H141" s="116" t="s">
        <v>505</v>
      </c>
      <c r="I141" s="115" t="s">
        <v>107</v>
      </c>
      <c r="J141" s="116"/>
      <c r="K141" s="120"/>
    </row>
    <row r="142" spans="1:11" ht="36" customHeight="1" outlineLevel="1" thickBot="1" x14ac:dyDescent="0.45">
      <c r="A142" s="113" t="s">
        <v>468</v>
      </c>
      <c r="B142" s="114" t="s">
        <v>23</v>
      </c>
      <c r="C142" s="115"/>
      <c r="D142" s="116"/>
      <c r="E142" s="117" t="s">
        <v>23</v>
      </c>
      <c r="F142" s="118">
        <v>3</v>
      </c>
      <c r="G142" s="119" t="s">
        <v>84</v>
      </c>
      <c r="H142" s="115" t="s">
        <v>506</v>
      </c>
      <c r="I142" s="115" t="s">
        <v>107</v>
      </c>
      <c r="J142" s="116"/>
      <c r="K142" s="120"/>
    </row>
    <row r="143" spans="1:11" ht="36" customHeight="1" thickBot="1" x14ac:dyDescent="0.45">
      <c r="A143" s="89" t="s">
        <v>133</v>
      </c>
      <c r="B143" s="90" t="s">
        <v>21</v>
      </c>
      <c r="C143" s="91" t="s">
        <v>208</v>
      </c>
      <c r="D143" s="92"/>
      <c r="E143" s="93" t="s">
        <v>401</v>
      </c>
      <c r="F143" s="94"/>
      <c r="G143" s="95" t="str">
        <f>G144&amp;" / "&amp;G145</f>
        <v>ses_balanço / DIOPS</v>
      </c>
      <c r="H143" s="91" t="str">
        <f>H144&amp;" / "&amp;H145</f>
        <v xml:space="preserve">coluna: VALOR filtrando na colulna CMPID as contas 4080 e 6577 (a partir de 04/2008) / conta 6112 do balanço </v>
      </c>
      <c r="I143" s="91" t="s">
        <v>107</v>
      </c>
      <c r="J143" s="92"/>
      <c r="K143" s="96"/>
    </row>
    <row r="144" spans="1:11" ht="36" customHeight="1" outlineLevel="1" thickBot="1" x14ac:dyDescent="0.45">
      <c r="A144" s="113" t="s">
        <v>182</v>
      </c>
      <c r="B144" s="114" t="s">
        <v>23</v>
      </c>
      <c r="C144" s="115"/>
      <c r="D144" s="116"/>
      <c r="E144" s="117" t="s">
        <v>23</v>
      </c>
      <c r="F144" s="118">
        <v>3</v>
      </c>
      <c r="G144" s="119" t="s">
        <v>15</v>
      </c>
      <c r="H144" s="115" t="s">
        <v>194</v>
      </c>
      <c r="I144" s="115" t="s">
        <v>107</v>
      </c>
      <c r="J144" s="116"/>
      <c r="K144" s="120"/>
    </row>
    <row r="145" spans="1:11" ht="36" customHeight="1" outlineLevel="1" thickBot="1" x14ac:dyDescent="0.45">
      <c r="A145" s="113" t="s">
        <v>192</v>
      </c>
      <c r="B145" s="114" t="s">
        <v>22</v>
      </c>
      <c r="C145" s="115"/>
      <c r="D145" s="116"/>
      <c r="E145" s="117" t="s">
        <v>22</v>
      </c>
      <c r="F145" s="118">
        <v>1</v>
      </c>
      <c r="G145" s="119" t="s">
        <v>8</v>
      </c>
      <c r="H145" s="116" t="s">
        <v>193</v>
      </c>
      <c r="I145" s="115" t="s">
        <v>107</v>
      </c>
      <c r="J145" s="116"/>
      <c r="K145" s="120"/>
    </row>
    <row r="146" spans="1:11" ht="36" customHeight="1" thickBot="1" x14ac:dyDescent="0.45">
      <c r="A146" s="134" t="s">
        <v>147</v>
      </c>
      <c r="B146" s="135" t="s">
        <v>23</v>
      </c>
      <c r="C146" s="136"/>
      <c r="D146" s="137"/>
      <c r="E146" s="138" t="s">
        <v>23</v>
      </c>
      <c r="F146" s="139">
        <v>3</v>
      </c>
      <c r="G146" s="140" t="s">
        <v>69</v>
      </c>
      <c r="H146" s="136" t="s">
        <v>215</v>
      </c>
      <c r="I146" s="136"/>
      <c r="J146" s="137"/>
      <c r="K146" s="141"/>
    </row>
    <row r="147" spans="1:11" ht="36" customHeight="1" thickBot="1" x14ac:dyDescent="0.45">
      <c r="A147" s="134" t="s">
        <v>134</v>
      </c>
      <c r="B147" s="135" t="s">
        <v>23</v>
      </c>
      <c r="C147" s="136"/>
      <c r="D147" s="137"/>
      <c r="E147" s="138" t="s">
        <v>23</v>
      </c>
      <c r="F147" s="139">
        <v>3</v>
      </c>
      <c r="G147" s="140" t="s">
        <v>40</v>
      </c>
      <c r="H147" s="136" t="s">
        <v>41</v>
      </c>
      <c r="I147" s="136"/>
      <c r="J147" s="137"/>
      <c r="K147" s="141"/>
    </row>
    <row r="148" spans="1:11" ht="36" customHeight="1" thickBot="1" x14ac:dyDescent="0.45">
      <c r="A148" s="142" t="s">
        <v>51</v>
      </c>
      <c r="B148" s="143" t="s">
        <v>23</v>
      </c>
      <c r="C148" s="147" t="s">
        <v>137</v>
      </c>
      <c r="D148" s="144"/>
      <c r="E148" s="145" t="s">
        <v>23</v>
      </c>
      <c r="F148" s="166">
        <v>3</v>
      </c>
      <c r="G148" s="146"/>
      <c r="H148" s="147"/>
      <c r="I148" s="147"/>
      <c r="J148" s="144"/>
      <c r="K148" s="148"/>
    </row>
    <row r="149" spans="1:11" ht="36" customHeight="1" outlineLevel="1" thickBot="1" x14ac:dyDescent="0.45">
      <c r="A149" s="113" t="s">
        <v>47</v>
      </c>
      <c r="B149" s="114" t="s">
        <v>23</v>
      </c>
      <c r="C149" s="115"/>
      <c r="D149" s="116"/>
      <c r="E149" s="117" t="s">
        <v>23</v>
      </c>
      <c r="F149" s="118">
        <v>3</v>
      </c>
      <c r="G149" s="119" t="s">
        <v>49</v>
      </c>
      <c r="H149" s="115" t="s">
        <v>45</v>
      </c>
      <c r="I149" s="115"/>
      <c r="J149" s="116"/>
      <c r="K149" s="120"/>
    </row>
    <row r="150" spans="1:11" ht="36" customHeight="1" outlineLevel="1" thickBot="1" x14ac:dyDescent="0.45">
      <c r="A150" s="113" t="s">
        <v>48</v>
      </c>
      <c r="B150" s="114" t="s">
        <v>23</v>
      </c>
      <c r="C150" s="115"/>
      <c r="D150" s="116"/>
      <c r="E150" s="117" t="s">
        <v>23</v>
      </c>
      <c r="F150" s="118">
        <v>3</v>
      </c>
      <c r="G150" s="119" t="s">
        <v>49</v>
      </c>
      <c r="H150" s="115" t="s">
        <v>46</v>
      </c>
      <c r="I150" s="115"/>
      <c r="J150" s="116"/>
      <c r="K150" s="120"/>
    </row>
    <row r="151" spans="1:11" ht="36" customHeight="1" thickBot="1" x14ac:dyDescent="0.45">
      <c r="A151" s="134" t="s">
        <v>138</v>
      </c>
      <c r="B151" s="135" t="s">
        <v>23</v>
      </c>
      <c r="C151" s="136"/>
      <c r="D151" s="137"/>
      <c r="E151" s="138" t="s">
        <v>23</v>
      </c>
      <c r="F151" s="139">
        <v>3</v>
      </c>
      <c r="G151" s="140" t="s">
        <v>409</v>
      </c>
      <c r="H151" s="136"/>
      <c r="I151" s="136"/>
      <c r="J151" s="137"/>
      <c r="K151" s="141"/>
    </row>
    <row r="152" spans="1:11" ht="36" customHeight="1" thickBot="1" x14ac:dyDescent="0.45">
      <c r="A152" s="134" t="s">
        <v>408</v>
      </c>
      <c r="B152" s="135" t="s">
        <v>23</v>
      </c>
      <c r="C152" s="136"/>
      <c r="D152" s="137"/>
      <c r="E152" s="138" t="s">
        <v>23</v>
      </c>
      <c r="F152" s="139">
        <v>3</v>
      </c>
      <c r="G152" s="140" t="s">
        <v>15</v>
      </c>
      <c r="H152" s="136" t="s">
        <v>410</v>
      </c>
      <c r="I152" s="136"/>
      <c r="J152" s="137"/>
      <c r="K152" s="141"/>
    </row>
    <row r="153" spans="1:11" ht="36" customHeight="1" thickBot="1" x14ac:dyDescent="0.45">
      <c r="A153" s="81" t="s">
        <v>103</v>
      </c>
      <c r="B153" s="82" t="s">
        <v>23</v>
      </c>
      <c r="C153" s="83"/>
      <c r="D153" s="84"/>
      <c r="E153" s="85" t="s">
        <v>23</v>
      </c>
      <c r="F153" s="86">
        <v>3</v>
      </c>
      <c r="G153" s="87" t="s">
        <v>15</v>
      </c>
      <c r="H153" s="83" t="s">
        <v>155</v>
      </c>
      <c r="I153" s="83"/>
      <c r="J153" s="84"/>
      <c r="K153" s="88"/>
    </row>
    <row r="154" spans="1:11" ht="36" customHeight="1" thickBot="1" x14ac:dyDescent="0.45">
      <c r="A154" s="81" t="s">
        <v>156</v>
      </c>
      <c r="B154" s="82" t="s">
        <v>23</v>
      </c>
      <c r="C154" s="83"/>
      <c r="D154" s="84"/>
      <c r="E154" s="85" t="s">
        <v>23</v>
      </c>
      <c r="F154" s="86">
        <v>3</v>
      </c>
      <c r="G154" s="87" t="s">
        <v>15</v>
      </c>
      <c r="H154" s="83" t="s">
        <v>157</v>
      </c>
      <c r="I154" s="83"/>
      <c r="J154" s="84"/>
      <c r="K154" s="88"/>
    </row>
    <row r="155" spans="1:11" ht="36" customHeight="1" thickBot="1" x14ac:dyDescent="0.45">
      <c r="A155" s="134" t="s">
        <v>139</v>
      </c>
      <c r="B155" s="135" t="s">
        <v>23</v>
      </c>
      <c r="C155" s="136"/>
      <c r="D155" s="137"/>
      <c r="E155" s="138" t="s">
        <v>23</v>
      </c>
      <c r="F155" s="139">
        <v>3</v>
      </c>
      <c r="G155" s="140" t="s">
        <v>52</v>
      </c>
      <c r="H155" s="136" t="s">
        <v>53</v>
      </c>
      <c r="I155" s="136" t="s">
        <v>154</v>
      </c>
      <c r="J155" s="137"/>
      <c r="K155" s="141"/>
    </row>
    <row r="156" spans="1:11" ht="36" customHeight="1" thickBot="1" x14ac:dyDescent="0.45">
      <c r="A156" s="175" t="s">
        <v>140</v>
      </c>
      <c r="B156" s="176" t="s">
        <v>23</v>
      </c>
      <c r="C156" s="177"/>
      <c r="D156" s="178"/>
      <c r="E156" s="179" t="s">
        <v>23</v>
      </c>
      <c r="F156" s="180">
        <v>3</v>
      </c>
      <c r="G156" s="181" t="s">
        <v>52</v>
      </c>
      <c r="H156" s="177" t="s">
        <v>54</v>
      </c>
      <c r="I156" s="177" t="s">
        <v>154</v>
      </c>
      <c r="J156" s="178"/>
      <c r="K156" s="182"/>
    </row>
    <row r="157" spans="1:11" ht="36" customHeight="1" thickBot="1" x14ac:dyDescent="0.45">
      <c r="A157" s="175" t="s">
        <v>141</v>
      </c>
      <c r="B157" s="176" t="s">
        <v>23</v>
      </c>
      <c r="C157" s="177"/>
      <c r="D157" s="178"/>
      <c r="E157" s="179" t="s">
        <v>23</v>
      </c>
      <c r="F157" s="180">
        <v>3</v>
      </c>
      <c r="G157" s="181" t="s">
        <v>52</v>
      </c>
      <c r="H157" s="177" t="s">
        <v>55</v>
      </c>
      <c r="I157" s="177" t="s">
        <v>154</v>
      </c>
      <c r="J157" s="178"/>
      <c r="K157" s="182"/>
    </row>
    <row r="158" spans="1:11" ht="36" customHeight="1" thickBot="1" x14ac:dyDescent="0.45">
      <c r="A158" s="175" t="s">
        <v>56</v>
      </c>
      <c r="B158" s="176" t="s">
        <v>23</v>
      </c>
      <c r="C158" s="177"/>
      <c r="D158" s="178"/>
      <c r="E158" s="179" t="s">
        <v>23</v>
      </c>
      <c r="F158" s="180">
        <v>3</v>
      </c>
      <c r="G158" s="181" t="s">
        <v>24</v>
      </c>
      <c r="H158" s="177" t="s">
        <v>57</v>
      </c>
      <c r="I158" s="177"/>
      <c r="J158" s="178"/>
      <c r="K158" s="182"/>
    </row>
    <row r="159" spans="1:11" ht="36" customHeight="1" thickBot="1" x14ac:dyDescent="0.45">
      <c r="A159" s="175" t="s">
        <v>142</v>
      </c>
      <c r="B159" s="176" t="s">
        <v>23</v>
      </c>
      <c r="C159" s="177"/>
      <c r="D159" s="178"/>
      <c r="E159" s="179" t="s">
        <v>23</v>
      </c>
      <c r="F159" s="180">
        <v>3</v>
      </c>
      <c r="G159" s="181" t="s">
        <v>12</v>
      </c>
      <c r="H159" s="177" t="s">
        <v>58</v>
      </c>
      <c r="I159" s="177"/>
      <c r="J159" s="178"/>
      <c r="K159" s="182"/>
    </row>
    <row r="160" spans="1:11" ht="36" customHeight="1" thickBot="1" x14ac:dyDescent="0.45">
      <c r="A160" s="175" t="s">
        <v>143</v>
      </c>
      <c r="B160" s="176" t="s">
        <v>23</v>
      </c>
      <c r="C160" s="177"/>
      <c r="D160" s="178"/>
      <c r="E160" s="179" t="s">
        <v>23</v>
      </c>
      <c r="F160" s="180">
        <v>3</v>
      </c>
      <c r="G160" s="181" t="s">
        <v>12</v>
      </c>
      <c r="H160" s="177" t="s">
        <v>59</v>
      </c>
      <c r="I160" s="177"/>
      <c r="J160" s="178"/>
      <c r="K160" s="182"/>
    </row>
    <row r="161" spans="1:11" ht="36" customHeight="1" thickBot="1" x14ac:dyDescent="0.45">
      <c r="A161" s="175" t="s">
        <v>104</v>
      </c>
      <c r="B161" s="176" t="s">
        <v>23</v>
      </c>
      <c r="C161" s="177"/>
      <c r="D161" s="178"/>
      <c r="E161" s="179" t="s">
        <v>23</v>
      </c>
      <c r="F161" s="180">
        <v>3</v>
      </c>
      <c r="G161" s="181" t="s">
        <v>15</v>
      </c>
      <c r="H161" s="177" t="s">
        <v>200</v>
      </c>
      <c r="I161" s="177" t="s">
        <v>107</v>
      </c>
      <c r="J161" s="178"/>
      <c r="K161" s="182"/>
    </row>
    <row r="162" spans="1:11" ht="36" customHeight="1" thickBot="1" x14ac:dyDescent="0.45">
      <c r="A162" s="142" t="s">
        <v>144</v>
      </c>
      <c r="B162" s="143" t="s">
        <v>22</v>
      </c>
      <c r="C162" s="147" t="s">
        <v>507</v>
      </c>
      <c r="D162" s="144"/>
      <c r="E162" s="145" t="s">
        <v>22</v>
      </c>
      <c r="F162" s="166">
        <v>2</v>
      </c>
      <c r="G162" s="146" t="s">
        <v>61</v>
      </c>
      <c r="H162" s="292" t="s">
        <v>1023</v>
      </c>
      <c r="I162" s="147"/>
      <c r="J162" s="144"/>
      <c r="K162" s="148"/>
    </row>
    <row r="163" spans="1:11" ht="36" customHeight="1" outlineLevel="1" thickBot="1" x14ac:dyDescent="0.45">
      <c r="A163" s="156" t="s">
        <v>159</v>
      </c>
      <c r="B163" s="157" t="s">
        <v>22</v>
      </c>
      <c r="C163" s="183" t="s">
        <v>399</v>
      </c>
      <c r="D163" s="159"/>
      <c r="E163" s="160" t="s">
        <v>22</v>
      </c>
      <c r="F163" s="184">
        <v>2</v>
      </c>
      <c r="G163" s="162" t="s">
        <v>61</v>
      </c>
      <c r="H163" s="293" t="s">
        <v>1023</v>
      </c>
      <c r="I163" s="163"/>
      <c r="J163" s="159"/>
      <c r="K163" s="164"/>
    </row>
    <row r="164" spans="1:11" ht="36" customHeight="1" outlineLevel="1" thickBot="1" x14ac:dyDescent="0.45">
      <c r="A164" s="156" t="s">
        <v>145</v>
      </c>
      <c r="B164" s="157" t="s">
        <v>22</v>
      </c>
      <c r="C164" s="183" t="s">
        <v>399</v>
      </c>
      <c r="D164" s="159"/>
      <c r="E164" s="160" t="s">
        <v>22</v>
      </c>
      <c r="F164" s="184">
        <v>2</v>
      </c>
      <c r="G164" s="162" t="s">
        <v>61</v>
      </c>
      <c r="H164" s="159" t="s">
        <v>1023</v>
      </c>
      <c r="I164" s="163"/>
      <c r="J164" s="159"/>
      <c r="K164" s="164"/>
    </row>
    <row r="165" spans="1:11" ht="36" customHeight="1" thickBot="1" x14ac:dyDescent="0.45">
      <c r="A165" s="81" t="s">
        <v>201</v>
      </c>
      <c r="B165" s="135" t="s">
        <v>130</v>
      </c>
      <c r="C165" s="136" t="s">
        <v>508</v>
      </c>
      <c r="D165" s="84"/>
      <c r="E165" s="138" t="s">
        <v>402</v>
      </c>
      <c r="F165" s="139">
        <v>7</v>
      </c>
      <c r="G165" s="140" t="s">
        <v>32</v>
      </c>
      <c r="H165" s="136" t="s">
        <v>617</v>
      </c>
      <c r="I165" s="136" t="s">
        <v>160</v>
      </c>
      <c r="J165" s="84"/>
      <c r="K165" s="141"/>
    </row>
    <row r="166" spans="1:11" ht="36" customHeight="1" thickBot="1" x14ac:dyDescent="0.45">
      <c r="A166" s="175" t="s">
        <v>161</v>
      </c>
      <c r="B166" s="176" t="s">
        <v>162</v>
      </c>
      <c r="C166" s="177"/>
      <c r="D166" s="178"/>
      <c r="E166" s="179" t="s">
        <v>403</v>
      </c>
      <c r="F166" s="180">
        <v>3</v>
      </c>
      <c r="G166" s="181"/>
      <c r="H166" s="177"/>
      <c r="I166" s="177" t="s">
        <v>172</v>
      </c>
      <c r="J166" s="178"/>
      <c r="K166" s="182"/>
    </row>
    <row r="167" spans="1:11" ht="36" customHeight="1" thickBot="1" x14ac:dyDescent="0.45">
      <c r="A167" s="175" t="s">
        <v>163</v>
      </c>
      <c r="B167" s="176" t="s">
        <v>162</v>
      </c>
      <c r="C167" s="177"/>
      <c r="D167" s="178"/>
      <c r="E167" s="179" t="s">
        <v>403</v>
      </c>
      <c r="F167" s="180">
        <v>3</v>
      </c>
      <c r="G167" s="181"/>
      <c r="H167" s="177"/>
      <c r="I167" s="177" t="s">
        <v>172</v>
      </c>
      <c r="J167" s="178"/>
      <c r="K167" s="182"/>
    </row>
    <row r="168" spans="1:11" ht="36" customHeight="1" thickBot="1" x14ac:dyDescent="0.45">
      <c r="A168" s="175" t="s">
        <v>164</v>
      </c>
      <c r="B168" s="176" t="s">
        <v>162</v>
      </c>
      <c r="C168" s="177"/>
      <c r="D168" s="178"/>
      <c r="E168" s="179" t="s">
        <v>403</v>
      </c>
      <c r="F168" s="180">
        <v>3</v>
      </c>
      <c r="G168" s="181"/>
      <c r="H168" s="177"/>
      <c r="I168" s="177" t="s">
        <v>172</v>
      </c>
      <c r="J168" s="178"/>
      <c r="K168" s="182"/>
    </row>
    <row r="169" spans="1:11" ht="36" customHeight="1" thickBot="1" x14ac:dyDescent="0.45">
      <c r="A169" s="175" t="s">
        <v>165</v>
      </c>
      <c r="B169" s="176" t="s">
        <v>162</v>
      </c>
      <c r="C169" s="177"/>
      <c r="D169" s="178"/>
      <c r="E169" s="179" t="s">
        <v>403</v>
      </c>
      <c r="F169" s="180">
        <v>3</v>
      </c>
      <c r="G169" s="181"/>
      <c r="H169" s="177"/>
      <c r="I169" s="177" t="s">
        <v>172</v>
      </c>
      <c r="J169" s="178"/>
      <c r="K169" s="182"/>
    </row>
    <row r="170" spans="1:11" ht="36" customHeight="1" thickBot="1" x14ac:dyDescent="0.45">
      <c r="A170" s="175" t="s">
        <v>166</v>
      </c>
      <c r="B170" s="176" t="s">
        <v>162</v>
      </c>
      <c r="C170" s="177"/>
      <c r="D170" s="178"/>
      <c r="E170" s="179" t="s">
        <v>403</v>
      </c>
      <c r="F170" s="180">
        <v>3</v>
      </c>
      <c r="G170" s="181"/>
      <c r="H170" s="177"/>
      <c r="I170" s="177" t="s">
        <v>172</v>
      </c>
      <c r="J170" s="178"/>
      <c r="K170" s="182"/>
    </row>
    <row r="171" spans="1:11" ht="36" customHeight="1" thickBot="1" x14ac:dyDescent="0.45">
      <c r="A171" s="175" t="s">
        <v>167</v>
      </c>
      <c r="B171" s="176" t="s">
        <v>162</v>
      </c>
      <c r="C171" s="177"/>
      <c r="D171" s="178"/>
      <c r="E171" s="179" t="s">
        <v>403</v>
      </c>
      <c r="F171" s="180">
        <v>3</v>
      </c>
      <c r="G171" s="181"/>
      <c r="H171" s="177"/>
      <c r="I171" s="177" t="s">
        <v>172</v>
      </c>
      <c r="J171" s="178"/>
      <c r="K171" s="182"/>
    </row>
    <row r="172" spans="1:11" ht="36" customHeight="1" thickBot="1" x14ac:dyDescent="0.45">
      <c r="A172" s="175" t="s">
        <v>168</v>
      </c>
      <c r="B172" s="176" t="s">
        <v>162</v>
      </c>
      <c r="C172" s="185" t="s">
        <v>202</v>
      </c>
      <c r="D172" s="178"/>
      <c r="E172" s="179" t="s">
        <v>403</v>
      </c>
      <c r="F172" s="180">
        <v>3</v>
      </c>
      <c r="G172" s="181" t="s">
        <v>204</v>
      </c>
      <c r="H172" s="177" t="s">
        <v>205</v>
      </c>
      <c r="I172" s="177" t="s">
        <v>172</v>
      </c>
      <c r="J172" s="178"/>
      <c r="K172" s="182"/>
    </row>
    <row r="173" spans="1:11" ht="36" customHeight="1" thickBot="1" x14ac:dyDescent="0.45">
      <c r="A173" s="175" t="s">
        <v>169</v>
      </c>
      <c r="B173" s="176" t="s">
        <v>162</v>
      </c>
      <c r="C173" s="185" t="s">
        <v>202</v>
      </c>
      <c r="D173" s="178"/>
      <c r="E173" s="179" t="s">
        <v>403</v>
      </c>
      <c r="F173" s="180">
        <v>3</v>
      </c>
      <c r="G173" s="181" t="s">
        <v>204</v>
      </c>
      <c r="H173" s="177" t="s">
        <v>205</v>
      </c>
      <c r="I173" s="177" t="s">
        <v>172</v>
      </c>
      <c r="J173" s="178"/>
      <c r="K173" s="182"/>
    </row>
    <row r="174" spans="1:11" ht="36" customHeight="1" thickBot="1" x14ac:dyDescent="0.45">
      <c r="A174" s="175" t="s">
        <v>170</v>
      </c>
      <c r="B174" s="176" t="s">
        <v>162</v>
      </c>
      <c r="C174" s="185" t="s">
        <v>203</v>
      </c>
      <c r="D174" s="178"/>
      <c r="E174" s="179" t="s">
        <v>403</v>
      </c>
      <c r="F174" s="180">
        <v>3</v>
      </c>
      <c r="G174" s="181" t="s">
        <v>204</v>
      </c>
      <c r="H174" s="177" t="s">
        <v>206</v>
      </c>
      <c r="I174" s="177" t="s">
        <v>172</v>
      </c>
      <c r="J174" s="178"/>
      <c r="K174" s="182"/>
    </row>
    <row r="175" spans="1:11" ht="36" customHeight="1" thickBot="1" x14ac:dyDescent="0.45">
      <c r="A175" s="175" t="s">
        <v>171</v>
      </c>
      <c r="B175" s="176" t="s">
        <v>162</v>
      </c>
      <c r="C175" s="185" t="s">
        <v>203</v>
      </c>
      <c r="D175" s="178"/>
      <c r="E175" s="179" t="s">
        <v>403</v>
      </c>
      <c r="F175" s="180">
        <v>3</v>
      </c>
      <c r="G175" s="181" t="s">
        <v>204</v>
      </c>
      <c r="H175" s="177" t="s">
        <v>206</v>
      </c>
      <c r="I175" s="177" t="s">
        <v>172</v>
      </c>
      <c r="J175" s="178"/>
      <c r="K175" s="182"/>
    </row>
    <row r="176" spans="1:11" ht="36" customHeight="1" thickBot="1" x14ac:dyDescent="0.45">
      <c r="A176" s="175" t="s">
        <v>263</v>
      </c>
      <c r="B176" s="176" t="s">
        <v>130</v>
      </c>
      <c r="C176" s="177" t="s">
        <v>269</v>
      </c>
      <c r="D176" s="178"/>
      <c r="E176" s="179" t="s">
        <v>402</v>
      </c>
      <c r="F176" s="180">
        <v>7</v>
      </c>
      <c r="G176" s="140" t="s">
        <v>32</v>
      </c>
      <c r="H176" s="177" t="s">
        <v>618</v>
      </c>
      <c r="I176" s="177" t="s">
        <v>160</v>
      </c>
      <c r="J176" s="178"/>
      <c r="K176" s="182"/>
    </row>
    <row r="177" spans="1:11" ht="36" customHeight="1" thickBot="1" x14ac:dyDescent="0.45">
      <c r="A177" s="175" t="s">
        <v>264</v>
      </c>
      <c r="B177" s="176" t="s">
        <v>130</v>
      </c>
      <c r="C177" s="177" t="s">
        <v>270</v>
      </c>
      <c r="D177" s="178"/>
      <c r="E177" s="179" t="s">
        <v>402</v>
      </c>
      <c r="F177" s="180">
        <v>7</v>
      </c>
      <c r="G177" s="140" t="s">
        <v>32</v>
      </c>
      <c r="H177" s="177" t="s">
        <v>619</v>
      </c>
      <c r="I177" s="177" t="s">
        <v>160</v>
      </c>
      <c r="J177" s="178"/>
      <c r="K177" s="182"/>
    </row>
    <row r="178" spans="1:11" ht="36" customHeight="1" thickBot="1" x14ac:dyDescent="0.45">
      <c r="A178" s="175" t="s">
        <v>288</v>
      </c>
      <c r="B178" s="176" t="s">
        <v>130</v>
      </c>
      <c r="C178" s="177" t="s">
        <v>271</v>
      </c>
      <c r="D178" s="178"/>
      <c r="E178" s="179" t="s">
        <v>402</v>
      </c>
      <c r="F178" s="180">
        <v>7</v>
      </c>
      <c r="G178" s="140" t="s">
        <v>32</v>
      </c>
      <c r="H178" s="177" t="s">
        <v>620</v>
      </c>
      <c r="I178" s="177" t="s">
        <v>160</v>
      </c>
      <c r="J178" s="178"/>
      <c r="K178" s="182"/>
    </row>
    <row r="179" spans="1:11" ht="36" customHeight="1" thickBot="1" x14ac:dyDescent="0.45">
      <c r="A179" s="175" t="s">
        <v>289</v>
      </c>
      <c r="B179" s="176" t="s">
        <v>130</v>
      </c>
      <c r="C179" s="177" t="s">
        <v>272</v>
      </c>
      <c r="D179" s="178"/>
      <c r="E179" s="179" t="s">
        <v>402</v>
      </c>
      <c r="F179" s="180">
        <v>7</v>
      </c>
      <c r="G179" s="140" t="s">
        <v>32</v>
      </c>
      <c r="H179" s="177" t="s">
        <v>621</v>
      </c>
      <c r="I179" s="177" t="s">
        <v>160</v>
      </c>
      <c r="J179" s="178"/>
      <c r="K179" s="182"/>
    </row>
    <row r="180" spans="1:11" ht="36" customHeight="1" thickBot="1" x14ac:dyDescent="0.45">
      <c r="A180" s="175" t="s">
        <v>290</v>
      </c>
      <c r="B180" s="176" t="s">
        <v>130</v>
      </c>
      <c r="C180" s="177" t="s">
        <v>273</v>
      </c>
      <c r="D180" s="178"/>
      <c r="E180" s="179" t="s">
        <v>402</v>
      </c>
      <c r="F180" s="180">
        <v>7</v>
      </c>
      <c r="G180" s="140" t="s">
        <v>32</v>
      </c>
      <c r="H180" s="177" t="s">
        <v>622</v>
      </c>
      <c r="I180" s="177" t="s">
        <v>160</v>
      </c>
      <c r="J180" s="178"/>
      <c r="K180" s="182"/>
    </row>
    <row r="181" spans="1:11" ht="36" customHeight="1" thickBot="1" x14ac:dyDescent="0.45">
      <c r="A181" s="175" t="s">
        <v>291</v>
      </c>
      <c r="B181" s="176" t="s">
        <v>130</v>
      </c>
      <c r="C181" s="177" t="s">
        <v>274</v>
      </c>
      <c r="D181" s="178"/>
      <c r="E181" s="179" t="s">
        <v>402</v>
      </c>
      <c r="F181" s="180">
        <v>7</v>
      </c>
      <c r="G181" s="140" t="s">
        <v>32</v>
      </c>
      <c r="H181" s="177" t="s">
        <v>623</v>
      </c>
      <c r="I181" s="177" t="s">
        <v>160</v>
      </c>
      <c r="J181" s="178"/>
      <c r="K181" s="182"/>
    </row>
    <row r="182" spans="1:11" s="284" customFormat="1" ht="36" customHeight="1" thickBot="1" x14ac:dyDescent="0.45">
      <c r="A182" s="186" t="s">
        <v>292</v>
      </c>
      <c r="B182" s="187" t="s">
        <v>130</v>
      </c>
      <c r="C182" s="185" t="s">
        <v>275</v>
      </c>
      <c r="D182" s="188"/>
      <c r="E182" s="189" t="s">
        <v>402</v>
      </c>
      <c r="F182" s="190">
        <v>7</v>
      </c>
      <c r="G182" s="200" t="s">
        <v>32</v>
      </c>
      <c r="H182" s="185" t="s">
        <v>624</v>
      </c>
      <c r="I182" s="185" t="s">
        <v>160</v>
      </c>
      <c r="J182" s="188"/>
      <c r="K182" s="193" t="s">
        <v>1020</v>
      </c>
    </row>
    <row r="183" spans="1:11" ht="36" customHeight="1" thickBot="1" x14ac:dyDescent="0.45">
      <c r="A183" s="175" t="s">
        <v>1072</v>
      </c>
      <c r="B183" s="176" t="s">
        <v>130</v>
      </c>
      <c r="C183" s="177" t="s">
        <v>276</v>
      </c>
      <c r="D183" s="178"/>
      <c r="E183" s="179" t="s">
        <v>402</v>
      </c>
      <c r="F183" s="180">
        <v>7</v>
      </c>
      <c r="G183" s="140" t="s">
        <v>32</v>
      </c>
      <c r="H183" s="177" t="s">
        <v>625</v>
      </c>
      <c r="I183" s="177" t="s">
        <v>160</v>
      </c>
      <c r="J183" s="178"/>
      <c r="K183" s="182"/>
    </row>
    <row r="184" spans="1:11" s="284" customFormat="1" ht="36" customHeight="1" thickBot="1" x14ac:dyDescent="0.45">
      <c r="A184" s="73" t="s">
        <v>293</v>
      </c>
      <c r="B184" s="74" t="s">
        <v>130</v>
      </c>
      <c r="C184" s="185" t="s">
        <v>277</v>
      </c>
      <c r="D184" s="188"/>
      <c r="E184" s="77" t="s">
        <v>1063</v>
      </c>
      <c r="F184" s="78">
        <v>7</v>
      </c>
      <c r="G184" s="87" t="s">
        <v>32</v>
      </c>
      <c r="H184" s="75" t="s">
        <v>1064</v>
      </c>
      <c r="I184" s="75" t="s">
        <v>160</v>
      </c>
      <c r="J184" s="76"/>
      <c r="K184" s="202"/>
    </row>
    <row r="185" spans="1:11" s="284" customFormat="1" ht="36" customHeight="1" thickBot="1" x14ac:dyDescent="0.45">
      <c r="A185" s="175" t="s">
        <v>1068</v>
      </c>
      <c r="B185" s="176" t="s">
        <v>130</v>
      </c>
      <c r="C185" s="177" t="s">
        <v>1069</v>
      </c>
      <c r="D185" s="178"/>
      <c r="E185" s="179" t="s">
        <v>402</v>
      </c>
      <c r="F185" s="180">
        <v>7</v>
      </c>
      <c r="G185" s="140" t="s">
        <v>32</v>
      </c>
      <c r="H185" s="177" t="s">
        <v>1070</v>
      </c>
      <c r="I185" s="177" t="s">
        <v>160</v>
      </c>
      <c r="J185" s="178"/>
      <c r="K185" s="182"/>
    </row>
    <row r="186" spans="1:11" s="284" customFormat="1" ht="36" customHeight="1" thickBot="1" x14ac:dyDescent="0.45">
      <c r="A186" s="196" t="s">
        <v>261</v>
      </c>
      <c r="B186" s="282" t="s">
        <v>131</v>
      </c>
      <c r="C186" s="197" t="s">
        <v>267</v>
      </c>
      <c r="D186" s="198"/>
      <c r="E186" s="283" t="s">
        <v>402</v>
      </c>
      <c r="F186" s="199">
        <v>7</v>
      </c>
      <c r="G186" s="200" t="s">
        <v>32</v>
      </c>
      <c r="H186" s="197" t="s">
        <v>626</v>
      </c>
      <c r="I186" s="197"/>
      <c r="J186" s="198"/>
      <c r="K186" s="193" t="s">
        <v>1022</v>
      </c>
    </row>
    <row r="187" spans="1:11" ht="36" customHeight="1" thickBot="1" x14ac:dyDescent="0.45">
      <c r="A187" s="175" t="s">
        <v>322</v>
      </c>
      <c r="B187" s="176" t="s">
        <v>130</v>
      </c>
      <c r="C187" s="177" t="s">
        <v>295</v>
      </c>
      <c r="D187" s="178"/>
      <c r="E187" s="179" t="s">
        <v>402</v>
      </c>
      <c r="F187" s="180">
        <v>7</v>
      </c>
      <c r="G187" s="140" t="s">
        <v>32</v>
      </c>
      <c r="H187" s="177" t="s">
        <v>627</v>
      </c>
      <c r="I187" s="177" t="s">
        <v>160</v>
      </c>
      <c r="J187" s="178"/>
      <c r="K187" s="182"/>
    </row>
    <row r="188" spans="1:11" ht="36" customHeight="1" thickBot="1" x14ac:dyDescent="0.45">
      <c r="A188" s="175" t="s">
        <v>323</v>
      </c>
      <c r="B188" s="176" t="s">
        <v>130</v>
      </c>
      <c r="C188" s="177" t="s">
        <v>296</v>
      </c>
      <c r="D188" s="178"/>
      <c r="E188" s="179" t="s">
        <v>402</v>
      </c>
      <c r="F188" s="180">
        <v>7</v>
      </c>
      <c r="G188" s="140" t="s">
        <v>32</v>
      </c>
      <c r="H188" s="177" t="s">
        <v>628</v>
      </c>
      <c r="I188" s="177" t="s">
        <v>160</v>
      </c>
      <c r="J188" s="178"/>
      <c r="K188" s="182"/>
    </row>
    <row r="189" spans="1:11" ht="36" customHeight="1" thickBot="1" x14ac:dyDescent="0.45">
      <c r="A189" s="175" t="s">
        <v>509</v>
      </c>
      <c r="B189" s="74" t="s">
        <v>131</v>
      </c>
      <c r="C189" s="177" t="s">
        <v>1075</v>
      </c>
      <c r="D189" s="178"/>
      <c r="E189" s="77" t="s">
        <v>35</v>
      </c>
      <c r="F189" s="180"/>
      <c r="G189" s="181" t="s">
        <v>610</v>
      </c>
      <c r="H189" s="75" t="s">
        <v>1077</v>
      </c>
      <c r="I189" s="177" t="s">
        <v>324</v>
      </c>
      <c r="J189" s="178"/>
      <c r="K189" s="80"/>
    </row>
    <row r="190" spans="1:11" ht="36" customHeight="1" thickBot="1" x14ac:dyDescent="0.45">
      <c r="A190" s="175" t="s">
        <v>310</v>
      </c>
      <c r="B190" s="74" t="s">
        <v>308</v>
      </c>
      <c r="C190" s="177" t="s">
        <v>310</v>
      </c>
      <c r="D190" s="178"/>
      <c r="E190" s="77" t="s">
        <v>402</v>
      </c>
      <c r="F190" s="180">
        <v>7</v>
      </c>
      <c r="G190" s="181" t="s">
        <v>32</v>
      </c>
      <c r="H190" s="75" t="s">
        <v>1066</v>
      </c>
      <c r="I190" s="177" t="s">
        <v>1017</v>
      </c>
      <c r="J190" s="178"/>
      <c r="K190" s="80" t="s">
        <v>1021</v>
      </c>
    </row>
    <row r="191" spans="1:11" ht="36" customHeight="1" thickBot="1" x14ac:dyDescent="0.45">
      <c r="A191" s="175" t="s">
        <v>286</v>
      </c>
      <c r="B191" s="74" t="s">
        <v>308</v>
      </c>
      <c r="C191" s="177" t="s">
        <v>280</v>
      </c>
      <c r="D191" s="178"/>
      <c r="E191" s="77" t="s">
        <v>402</v>
      </c>
      <c r="F191" s="180">
        <v>7</v>
      </c>
      <c r="G191" s="181" t="s">
        <v>32</v>
      </c>
      <c r="H191" s="75" t="s">
        <v>629</v>
      </c>
      <c r="I191" s="177" t="s">
        <v>325</v>
      </c>
      <c r="J191" s="178"/>
      <c r="K191" s="80"/>
    </row>
    <row r="192" spans="1:11" ht="36" customHeight="1" thickBot="1" x14ac:dyDescent="0.45">
      <c r="A192" s="175" t="s">
        <v>285</v>
      </c>
      <c r="B192" s="74" t="s">
        <v>308</v>
      </c>
      <c r="C192" s="177" t="s">
        <v>281</v>
      </c>
      <c r="D192" s="178"/>
      <c r="E192" s="77" t="s">
        <v>402</v>
      </c>
      <c r="F192" s="180">
        <v>7</v>
      </c>
      <c r="G192" s="181" t="s">
        <v>32</v>
      </c>
      <c r="H192" s="75" t="s">
        <v>630</v>
      </c>
      <c r="I192" s="177" t="s">
        <v>325</v>
      </c>
      <c r="J192" s="178"/>
      <c r="K192" s="80"/>
    </row>
    <row r="193" spans="1:12" ht="36" customHeight="1" thickBot="1" x14ac:dyDescent="0.45">
      <c r="A193" s="175" t="s">
        <v>464</v>
      </c>
      <c r="B193" s="176" t="s">
        <v>130</v>
      </c>
      <c r="C193" s="177" t="s">
        <v>278</v>
      </c>
      <c r="D193" s="178"/>
      <c r="E193" s="179" t="s">
        <v>402</v>
      </c>
      <c r="F193" s="180">
        <v>7</v>
      </c>
      <c r="G193" s="181" t="s">
        <v>32</v>
      </c>
      <c r="H193" s="177" t="s">
        <v>1019</v>
      </c>
      <c r="I193" s="177" t="s">
        <v>324</v>
      </c>
      <c r="J193" s="178"/>
      <c r="K193" s="182"/>
    </row>
    <row r="194" spans="1:12" ht="36" customHeight="1" thickBot="1" x14ac:dyDescent="0.45">
      <c r="A194" s="175" t="s">
        <v>326</v>
      </c>
      <c r="B194" s="176" t="s">
        <v>130</v>
      </c>
      <c r="C194" s="177" t="s">
        <v>297</v>
      </c>
      <c r="D194" s="178"/>
      <c r="E194" s="179" t="s">
        <v>402</v>
      </c>
      <c r="F194" s="180">
        <v>7</v>
      </c>
      <c r="G194" s="181" t="s">
        <v>32</v>
      </c>
      <c r="H194" s="177" t="s">
        <v>631</v>
      </c>
      <c r="I194" s="177" t="s">
        <v>160</v>
      </c>
      <c r="J194" s="178"/>
      <c r="K194" s="182"/>
    </row>
    <row r="195" spans="1:12" ht="36" customHeight="1" thickBot="1" x14ac:dyDescent="0.45">
      <c r="A195" s="73" t="s">
        <v>313</v>
      </c>
      <c r="B195" s="74" t="s">
        <v>130</v>
      </c>
      <c r="C195" s="75" t="s">
        <v>547</v>
      </c>
      <c r="D195" s="76"/>
      <c r="E195" s="77" t="s">
        <v>402</v>
      </c>
      <c r="F195" s="78"/>
      <c r="G195" s="79" t="s">
        <v>1038</v>
      </c>
      <c r="H195" s="75" t="s">
        <v>1042</v>
      </c>
      <c r="I195" s="75" t="s">
        <v>324</v>
      </c>
      <c r="J195" s="188"/>
      <c r="K195" s="192"/>
    </row>
    <row r="196" spans="1:12" ht="36" customHeight="1" thickBot="1" x14ac:dyDescent="0.45">
      <c r="A196" s="73" t="s">
        <v>328</v>
      </c>
      <c r="B196" s="74" t="s">
        <v>130</v>
      </c>
      <c r="C196" s="75" t="s">
        <v>470</v>
      </c>
      <c r="D196" s="76"/>
      <c r="E196" s="77" t="s">
        <v>35</v>
      </c>
      <c r="F196" s="78"/>
      <c r="G196" s="79" t="s">
        <v>1039</v>
      </c>
      <c r="H196" s="75" t="s">
        <v>1024</v>
      </c>
      <c r="I196" s="75" t="s">
        <v>324</v>
      </c>
      <c r="J196" s="188"/>
      <c r="K196" s="192"/>
    </row>
    <row r="197" spans="1:12" ht="36" customHeight="1" thickBot="1" x14ac:dyDescent="0.45">
      <c r="A197" s="175" t="s">
        <v>510</v>
      </c>
      <c r="B197" s="176" t="s">
        <v>130</v>
      </c>
      <c r="C197" s="177" t="s">
        <v>300</v>
      </c>
      <c r="D197" s="178"/>
      <c r="E197" s="179" t="s">
        <v>402</v>
      </c>
      <c r="F197" s="180">
        <v>7</v>
      </c>
      <c r="G197" s="181" t="s">
        <v>32</v>
      </c>
      <c r="H197" s="177" t="s">
        <v>1067</v>
      </c>
      <c r="I197" s="177" t="s">
        <v>1017</v>
      </c>
      <c r="J197" s="178"/>
      <c r="K197" s="182"/>
    </row>
    <row r="198" spans="1:12" ht="36" customHeight="1" thickBot="1" x14ac:dyDescent="0.45">
      <c r="A198" s="175" t="s">
        <v>463</v>
      </c>
      <c r="B198" s="176" t="s">
        <v>130</v>
      </c>
      <c r="C198" s="177" t="s">
        <v>304</v>
      </c>
      <c r="D198" s="178"/>
      <c r="E198" s="179" t="s">
        <v>402</v>
      </c>
      <c r="F198" s="180">
        <v>7</v>
      </c>
      <c r="G198" s="181" t="s">
        <v>32</v>
      </c>
      <c r="H198" s="177" t="s">
        <v>1018</v>
      </c>
      <c r="I198" s="177" t="s">
        <v>1017</v>
      </c>
      <c r="J198" s="178"/>
      <c r="K198" s="182"/>
    </row>
    <row r="199" spans="1:12" ht="36" customHeight="1" thickBot="1" x14ac:dyDescent="0.45">
      <c r="A199" s="175" t="s">
        <v>319</v>
      </c>
      <c r="B199" s="176" t="s">
        <v>130</v>
      </c>
      <c r="C199" s="177" t="s">
        <v>301</v>
      </c>
      <c r="D199" s="178"/>
      <c r="E199" s="179" t="s">
        <v>402</v>
      </c>
      <c r="F199" s="180">
        <v>7</v>
      </c>
      <c r="G199" s="181" t="s">
        <v>32</v>
      </c>
      <c r="H199" s="177" t="s">
        <v>1073</v>
      </c>
      <c r="I199" s="177" t="s">
        <v>324</v>
      </c>
      <c r="J199" s="178"/>
      <c r="K199" s="182"/>
    </row>
    <row r="200" spans="1:12" ht="36" customHeight="1" thickBot="1" x14ac:dyDescent="0.45">
      <c r="A200" s="175" t="s">
        <v>329</v>
      </c>
      <c r="B200" s="74" t="s">
        <v>308</v>
      </c>
      <c r="C200" s="177" t="s">
        <v>465</v>
      </c>
      <c r="D200" s="178"/>
      <c r="E200" s="77" t="s">
        <v>35</v>
      </c>
      <c r="F200" s="180"/>
      <c r="G200" s="79" t="s">
        <v>1039</v>
      </c>
      <c r="H200" s="75" t="s">
        <v>1065</v>
      </c>
      <c r="I200" s="177" t="s">
        <v>324</v>
      </c>
      <c r="J200" s="178"/>
      <c r="K200" s="202" t="s">
        <v>476</v>
      </c>
    </row>
    <row r="201" spans="1:12" ht="36" customHeight="1" thickBot="1" x14ac:dyDescent="0.45">
      <c r="A201" s="73" t="s">
        <v>259</v>
      </c>
      <c r="B201" s="201" t="s">
        <v>130</v>
      </c>
      <c r="C201" s="75" t="s">
        <v>265</v>
      </c>
      <c r="D201" s="76"/>
      <c r="E201" s="77" t="s">
        <v>35</v>
      </c>
      <c r="F201" s="78"/>
      <c r="G201" s="79" t="s">
        <v>1039</v>
      </c>
      <c r="H201" s="75" t="s">
        <v>1025</v>
      </c>
      <c r="I201" s="75" t="s">
        <v>345</v>
      </c>
      <c r="J201" s="188"/>
      <c r="K201" s="193"/>
    </row>
    <row r="202" spans="1:12" ht="36" customHeight="1" thickBot="1" x14ac:dyDescent="0.45">
      <c r="A202" s="73" t="s">
        <v>262</v>
      </c>
      <c r="B202" s="194" t="s">
        <v>130</v>
      </c>
      <c r="C202" s="177" t="s">
        <v>268</v>
      </c>
      <c r="D202" s="76"/>
      <c r="E202" s="180" t="s">
        <v>402</v>
      </c>
      <c r="F202" s="180">
        <v>7</v>
      </c>
      <c r="G202" s="79" t="s">
        <v>585</v>
      </c>
      <c r="H202" s="177" t="s">
        <v>632</v>
      </c>
      <c r="I202" s="177" t="s">
        <v>324</v>
      </c>
      <c r="J202" s="76"/>
      <c r="K202" s="195"/>
    </row>
    <row r="203" spans="1:12" ht="36" customHeight="1" thickBot="1" x14ac:dyDescent="0.45">
      <c r="A203" s="175" t="s">
        <v>346</v>
      </c>
      <c r="B203" s="194" t="s">
        <v>130</v>
      </c>
      <c r="C203" s="177" t="s">
        <v>347</v>
      </c>
      <c r="D203" s="178"/>
      <c r="E203" s="180" t="s">
        <v>402</v>
      </c>
      <c r="F203" s="180"/>
      <c r="G203" s="79" t="s">
        <v>1038</v>
      </c>
      <c r="H203" s="177" t="s">
        <v>1040</v>
      </c>
      <c r="I203" s="177" t="s">
        <v>348</v>
      </c>
      <c r="J203" s="178"/>
      <c r="K203" s="195"/>
    </row>
    <row r="204" spans="1:12" ht="36" customHeight="1" thickBot="1" x14ac:dyDescent="0.45">
      <c r="A204" s="134" t="s">
        <v>282</v>
      </c>
      <c r="B204" s="203" t="s">
        <v>130</v>
      </c>
      <c r="C204" s="136" t="s">
        <v>349</v>
      </c>
      <c r="D204" s="137"/>
      <c r="E204" s="77" t="s">
        <v>35</v>
      </c>
      <c r="F204" s="139"/>
      <c r="G204" s="140" t="s">
        <v>1039</v>
      </c>
      <c r="H204" s="136" t="s">
        <v>1071</v>
      </c>
      <c r="I204" s="136" t="s">
        <v>345</v>
      </c>
      <c r="J204" s="137"/>
      <c r="K204" s="204"/>
    </row>
    <row r="205" spans="1:12" ht="36" customHeight="1" thickBot="1" x14ac:dyDescent="0.45">
      <c r="A205" s="186" t="s">
        <v>511</v>
      </c>
      <c r="B205" s="285" t="s">
        <v>131</v>
      </c>
      <c r="C205" s="185" t="s">
        <v>1076</v>
      </c>
      <c r="D205" s="188"/>
      <c r="E205" s="190" t="s">
        <v>35</v>
      </c>
      <c r="F205" s="190"/>
      <c r="G205" s="191" t="s">
        <v>589</v>
      </c>
      <c r="H205" s="185" t="s">
        <v>1078</v>
      </c>
      <c r="I205" s="185" t="s">
        <v>324</v>
      </c>
      <c r="J205" s="188"/>
      <c r="K205" s="193" t="s">
        <v>1029</v>
      </c>
      <c r="L205" s="271"/>
    </row>
    <row r="206" spans="1:12" ht="36" customHeight="1" thickBot="1" x14ac:dyDescent="0.45">
      <c r="A206" s="175" t="s">
        <v>283</v>
      </c>
      <c r="B206" s="201" t="s">
        <v>131</v>
      </c>
      <c r="C206" s="177" t="s">
        <v>544</v>
      </c>
      <c r="D206" s="178"/>
      <c r="E206" s="78" t="s">
        <v>35</v>
      </c>
      <c r="F206" s="180"/>
      <c r="G206" s="181" t="s">
        <v>610</v>
      </c>
      <c r="H206" s="75" t="s">
        <v>1037</v>
      </c>
      <c r="I206" s="177" t="s">
        <v>324</v>
      </c>
      <c r="J206" s="178"/>
      <c r="K206" s="202"/>
    </row>
    <row r="207" spans="1:12" ht="36" customHeight="1" thickBot="1" x14ac:dyDescent="0.45">
      <c r="A207" s="175" t="s">
        <v>279</v>
      </c>
      <c r="B207" s="194" t="s">
        <v>23</v>
      </c>
      <c r="C207" s="177" t="s">
        <v>279</v>
      </c>
      <c r="D207" s="178"/>
      <c r="E207" s="180" t="s">
        <v>407</v>
      </c>
      <c r="F207" s="180"/>
      <c r="G207" s="181" t="s">
        <v>636</v>
      </c>
      <c r="H207" s="177" t="s">
        <v>637</v>
      </c>
      <c r="I207" s="177" t="s">
        <v>350</v>
      </c>
      <c r="J207" s="178"/>
      <c r="K207" s="195"/>
    </row>
    <row r="208" spans="1:12" ht="36" customHeight="1" thickBot="1" x14ac:dyDescent="0.45">
      <c r="A208" s="175" t="s">
        <v>284</v>
      </c>
      <c r="B208" s="201" t="s">
        <v>308</v>
      </c>
      <c r="C208" s="177" t="s">
        <v>351</v>
      </c>
      <c r="D208" s="178"/>
      <c r="E208" s="78" t="s">
        <v>402</v>
      </c>
      <c r="F208" s="180"/>
      <c r="G208" s="181" t="s">
        <v>1038</v>
      </c>
      <c r="H208" s="75" t="s">
        <v>1041</v>
      </c>
      <c r="I208" s="177" t="s">
        <v>352</v>
      </c>
      <c r="J208" s="178"/>
      <c r="K208" s="202"/>
    </row>
    <row r="209" spans="1:11" ht="36" customHeight="1" thickBot="1" x14ac:dyDescent="0.45">
      <c r="A209" s="175" t="s">
        <v>550</v>
      </c>
      <c r="B209" s="201" t="s">
        <v>543</v>
      </c>
      <c r="C209" s="177"/>
      <c r="D209" s="178"/>
      <c r="E209" s="78" t="s">
        <v>608</v>
      </c>
      <c r="F209" s="180"/>
      <c r="G209" s="181" t="s">
        <v>542</v>
      </c>
      <c r="H209" s="75" t="s">
        <v>1080</v>
      </c>
      <c r="I209" s="177"/>
      <c r="J209" s="178"/>
      <c r="K209" s="202"/>
    </row>
    <row r="210" spans="1:11" s="284" customFormat="1" ht="36" customHeight="1" thickBot="1" x14ac:dyDescent="0.45">
      <c r="A210" s="175" t="s">
        <v>311</v>
      </c>
      <c r="B210" s="201" t="s">
        <v>308</v>
      </c>
      <c r="C210" s="177" t="s">
        <v>1074</v>
      </c>
      <c r="D210" s="178"/>
      <c r="E210" s="78" t="s">
        <v>1046</v>
      </c>
      <c r="F210" s="180"/>
      <c r="G210" s="181" t="s">
        <v>1038</v>
      </c>
      <c r="H210" s="75" t="s">
        <v>1047</v>
      </c>
      <c r="I210" s="177" t="s">
        <v>345</v>
      </c>
      <c r="J210" s="178"/>
      <c r="K210" s="202" t="s">
        <v>1045</v>
      </c>
    </row>
    <row r="211" spans="1:11" ht="36" customHeight="1" thickBot="1" x14ac:dyDescent="0.45">
      <c r="A211" s="175" t="s">
        <v>353</v>
      </c>
      <c r="B211" s="201" t="s">
        <v>308</v>
      </c>
      <c r="C211" s="177" t="s">
        <v>586</v>
      </c>
      <c r="D211" s="178"/>
      <c r="E211" s="77" t="s">
        <v>35</v>
      </c>
      <c r="F211" s="180"/>
      <c r="G211" s="181" t="s">
        <v>1039</v>
      </c>
      <c r="H211" s="75" t="s">
        <v>1062</v>
      </c>
      <c r="I211" s="177" t="s">
        <v>324</v>
      </c>
      <c r="J211" s="178"/>
      <c r="K211" s="202"/>
    </row>
    <row r="212" spans="1:11" ht="36" customHeight="1" thickBot="1" x14ac:dyDescent="0.45">
      <c r="A212" s="175" t="s">
        <v>316</v>
      </c>
      <c r="B212" s="201" t="s">
        <v>308</v>
      </c>
      <c r="C212" s="177" t="s">
        <v>298</v>
      </c>
      <c r="D212" s="178"/>
      <c r="E212" s="78" t="s">
        <v>354</v>
      </c>
      <c r="F212" s="180"/>
      <c r="G212" s="181" t="s">
        <v>354</v>
      </c>
      <c r="H212" s="75" t="s">
        <v>633</v>
      </c>
      <c r="I212" s="177" t="s">
        <v>352</v>
      </c>
      <c r="J212" s="178"/>
      <c r="K212" s="202"/>
    </row>
    <row r="213" spans="1:11" ht="36" customHeight="1" thickBot="1" x14ac:dyDescent="0.45">
      <c r="A213" s="175" t="s">
        <v>355</v>
      </c>
      <c r="B213" s="201" t="s">
        <v>308</v>
      </c>
      <c r="C213" s="177" t="s">
        <v>587</v>
      </c>
      <c r="D213" s="178"/>
      <c r="E213" s="77" t="s">
        <v>35</v>
      </c>
      <c r="F213" s="180"/>
      <c r="G213" s="181" t="s">
        <v>1039</v>
      </c>
      <c r="H213" s="75" t="s">
        <v>1061</v>
      </c>
      <c r="I213" s="177" t="s">
        <v>324</v>
      </c>
      <c r="J213" s="178"/>
      <c r="K213" s="202"/>
    </row>
    <row r="214" spans="1:11" ht="36" customHeight="1" thickBot="1" x14ac:dyDescent="0.45">
      <c r="A214" s="175" t="s">
        <v>356</v>
      </c>
      <c r="B214" s="201" t="s">
        <v>308</v>
      </c>
      <c r="C214" s="177" t="s">
        <v>357</v>
      </c>
      <c r="D214" s="178"/>
      <c r="E214" s="77" t="s">
        <v>35</v>
      </c>
      <c r="F214" s="180"/>
      <c r="G214" s="181" t="s">
        <v>1039</v>
      </c>
      <c r="H214" s="75" t="s">
        <v>1079</v>
      </c>
      <c r="I214" s="177" t="s">
        <v>638</v>
      </c>
      <c r="J214" s="178"/>
      <c r="K214" s="202"/>
    </row>
    <row r="215" spans="1:11" ht="36" customHeight="1" thickBot="1" x14ac:dyDescent="0.45">
      <c r="A215" s="175" t="s">
        <v>318</v>
      </c>
      <c r="B215" s="201" t="s">
        <v>309</v>
      </c>
      <c r="C215" s="177" t="s">
        <v>299</v>
      </c>
      <c r="D215" s="178"/>
      <c r="E215" s="78" t="s">
        <v>307</v>
      </c>
      <c r="F215" s="180"/>
      <c r="G215" s="181" t="s">
        <v>307</v>
      </c>
      <c r="H215" s="75" t="s">
        <v>635</v>
      </c>
      <c r="I215" s="177" t="s">
        <v>352</v>
      </c>
      <c r="J215" s="178"/>
      <c r="K215" s="202"/>
    </row>
    <row r="216" spans="1:11" s="284" customFormat="1" ht="36" customHeight="1" thickBot="1" x14ac:dyDescent="0.45">
      <c r="A216" s="186" t="s">
        <v>320</v>
      </c>
      <c r="B216" s="285" t="s">
        <v>308</v>
      </c>
      <c r="C216" s="185" t="s">
        <v>302</v>
      </c>
      <c r="D216" s="188"/>
      <c r="E216" s="190" t="s">
        <v>402</v>
      </c>
      <c r="F216" s="190"/>
      <c r="G216" s="191" t="s">
        <v>1038</v>
      </c>
      <c r="H216" s="185" t="s">
        <v>1043</v>
      </c>
      <c r="I216" s="185" t="s">
        <v>352</v>
      </c>
      <c r="J216" s="188"/>
      <c r="K216" s="193" t="s">
        <v>1022</v>
      </c>
    </row>
    <row r="217" spans="1:11" ht="36" customHeight="1" thickBot="1" x14ac:dyDescent="0.45">
      <c r="A217" s="175" t="s">
        <v>321</v>
      </c>
      <c r="B217" s="194" t="s">
        <v>130</v>
      </c>
      <c r="C217" s="177" t="s">
        <v>303</v>
      </c>
      <c r="D217" s="178"/>
      <c r="E217" s="180" t="s">
        <v>402</v>
      </c>
      <c r="F217" s="180"/>
      <c r="G217" s="181" t="s">
        <v>1038</v>
      </c>
      <c r="H217" s="177" t="s">
        <v>1044</v>
      </c>
      <c r="I217" s="177" t="s">
        <v>324</v>
      </c>
      <c r="J217" s="178"/>
      <c r="K217" s="195"/>
    </row>
    <row r="218" spans="1:11" ht="36" customHeight="1" thickBot="1" x14ac:dyDescent="0.45">
      <c r="A218" s="134" t="s">
        <v>314</v>
      </c>
      <c r="B218" s="203" t="s">
        <v>22</v>
      </c>
      <c r="C218" s="136" t="s">
        <v>327</v>
      </c>
      <c r="D218" s="137"/>
      <c r="E218" s="139" t="s">
        <v>22</v>
      </c>
      <c r="F218" s="139">
        <v>2</v>
      </c>
      <c r="G218" s="140" t="s">
        <v>305</v>
      </c>
      <c r="H218" s="137" t="s">
        <v>450</v>
      </c>
      <c r="I218" s="136" t="s">
        <v>352</v>
      </c>
      <c r="J218" s="137"/>
      <c r="K218" s="204"/>
    </row>
    <row r="219" spans="1:11" ht="36" customHeight="1" thickBot="1" x14ac:dyDescent="0.45">
      <c r="A219" s="175" t="s">
        <v>315</v>
      </c>
      <c r="B219" s="194" t="s">
        <v>22</v>
      </c>
      <c r="C219" s="177" t="s">
        <v>358</v>
      </c>
      <c r="D219" s="178"/>
      <c r="E219" s="180" t="s">
        <v>22</v>
      </c>
      <c r="F219" s="180">
        <v>2</v>
      </c>
      <c r="G219" s="181" t="s">
        <v>305</v>
      </c>
      <c r="H219" s="178" t="s">
        <v>545</v>
      </c>
      <c r="I219" s="177" t="s">
        <v>352</v>
      </c>
      <c r="J219" s="178"/>
      <c r="K219" s="195"/>
    </row>
    <row r="220" spans="1:11" ht="36" customHeight="1" thickBot="1" x14ac:dyDescent="0.45">
      <c r="A220" s="24" t="s">
        <v>335</v>
      </c>
      <c r="B220" s="205" t="s">
        <v>330</v>
      </c>
      <c r="C220" s="26" t="s">
        <v>512</v>
      </c>
      <c r="D220" s="27"/>
      <c r="E220" s="29" t="s">
        <v>401</v>
      </c>
      <c r="F220" s="29"/>
      <c r="G220" s="30"/>
      <c r="H220" s="26"/>
      <c r="I220" s="26"/>
      <c r="J220" s="27"/>
      <c r="K220" s="206"/>
    </row>
    <row r="221" spans="1:11" ht="36" customHeight="1" outlineLevel="1" thickBot="1" x14ac:dyDescent="0.45">
      <c r="A221" s="113" t="s">
        <v>331</v>
      </c>
      <c r="B221" s="207" t="s">
        <v>22</v>
      </c>
      <c r="C221" s="115"/>
      <c r="D221" s="116"/>
      <c r="E221" s="118" t="s">
        <v>22</v>
      </c>
      <c r="F221" s="118">
        <v>1</v>
      </c>
      <c r="G221" s="119" t="s">
        <v>8</v>
      </c>
      <c r="H221" s="116" t="s">
        <v>333</v>
      </c>
      <c r="I221" s="115" t="s">
        <v>334</v>
      </c>
      <c r="J221" s="116"/>
      <c r="K221" s="208"/>
    </row>
    <row r="222" spans="1:11" ht="36" customHeight="1" outlineLevel="1" thickBot="1" x14ac:dyDescent="0.45">
      <c r="A222" s="209" t="s">
        <v>332</v>
      </c>
      <c r="B222" s="210" t="s">
        <v>23</v>
      </c>
      <c r="C222" s="158"/>
      <c r="D222" s="211"/>
      <c r="E222" s="161" t="s">
        <v>23</v>
      </c>
      <c r="F222" s="161">
        <v>3</v>
      </c>
      <c r="G222" s="212" t="s">
        <v>15</v>
      </c>
      <c r="H222" s="158" t="s">
        <v>338</v>
      </c>
      <c r="I222" s="158" t="s">
        <v>334</v>
      </c>
      <c r="J222" s="211"/>
      <c r="K222" s="213"/>
    </row>
    <row r="223" spans="1:11" ht="36" customHeight="1" thickBot="1" x14ac:dyDescent="0.45">
      <c r="A223" s="24" t="s">
        <v>336</v>
      </c>
      <c r="B223" s="205" t="s">
        <v>330</v>
      </c>
      <c r="C223" s="26" t="s">
        <v>513</v>
      </c>
      <c r="D223" s="27"/>
      <c r="E223" s="29" t="s">
        <v>401</v>
      </c>
      <c r="F223" s="29"/>
      <c r="G223" s="30"/>
      <c r="H223" s="26"/>
      <c r="I223" s="26"/>
      <c r="J223" s="27"/>
      <c r="K223" s="206"/>
    </row>
    <row r="224" spans="1:11" ht="36" customHeight="1" outlineLevel="1" thickBot="1" x14ac:dyDescent="0.45">
      <c r="A224" s="113" t="s">
        <v>359</v>
      </c>
      <c r="B224" s="207" t="s">
        <v>22</v>
      </c>
      <c r="C224" s="115"/>
      <c r="D224" s="116"/>
      <c r="E224" s="118" t="s">
        <v>22</v>
      </c>
      <c r="F224" s="118">
        <v>1</v>
      </c>
      <c r="G224" s="119" t="s">
        <v>8</v>
      </c>
      <c r="H224" s="116" t="s">
        <v>337</v>
      </c>
      <c r="I224" s="115" t="s">
        <v>334</v>
      </c>
      <c r="J224" s="116"/>
      <c r="K224" s="208"/>
    </row>
    <row r="225" spans="1:11" ht="36" customHeight="1" outlineLevel="1" thickBot="1" x14ac:dyDescent="0.45">
      <c r="A225" s="209" t="s">
        <v>360</v>
      </c>
      <c r="B225" s="210" t="s">
        <v>23</v>
      </c>
      <c r="C225" s="158"/>
      <c r="D225" s="211"/>
      <c r="E225" s="161" t="s">
        <v>23</v>
      </c>
      <c r="F225" s="161">
        <v>3</v>
      </c>
      <c r="G225" s="212" t="s">
        <v>15</v>
      </c>
      <c r="H225" s="158" t="s">
        <v>339</v>
      </c>
      <c r="I225" s="158" t="s">
        <v>334</v>
      </c>
      <c r="J225" s="211"/>
      <c r="K225" s="213"/>
    </row>
    <row r="226" spans="1:11" ht="36" customHeight="1" thickBot="1" x14ac:dyDescent="0.45">
      <c r="A226" s="175" t="s">
        <v>340</v>
      </c>
      <c r="B226" s="176" t="s">
        <v>341</v>
      </c>
      <c r="C226" s="177"/>
      <c r="D226" s="178"/>
      <c r="E226" s="179" t="s">
        <v>406</v>
      </c>
      <c r="F226" s="180"/>
      <c r="G226" s="181" t="s">
        <v>342</v>
      </c>
      <c r="H226" s="287" t="s">
        <v>1048</v>
      </c>
      <c r="I226" s="177"/>
      <c r="J226" s="178"/>
      <c r="K226" s="182"/>
    </row>
    <row r="227" spans="1:11" ht="36" customHeight="1" thickBot="1" x14ac:dyDescent="0.45">
      <c r="A227" s="175" t="s">
        <v>343</v>
      </c>
      <c r="B227" s="176" t="s">
        <v>341</v>
      </c>
      <c r="C227" s="177"/>
      <c r="D227" s="178"/>
      <c r="E227" s="179" t="s">
        <v>406</v>
      </c>
      <c r="F227" s="180"/>
      <c r="G227" s="181" t="s">
        <v>342</v>
      </c>
      <c r="H227" s="287" t="s">
        <v>1049</v>
      </c>
      <c r="I227" s="177"/>
      <c r="J227" s="178"/>
      <c r="K227" s="182"/>
    </row>
    <row r="228" spans="1:11" ht="36" customHeight="1" thickBot="1" x14ac:dyDescent="0.45">
      <c r="A228" s="175" t="s">
        <v>344</v>
      </c>
      <c r="B228" s="176" t="s">
        <v>341</v>
      </c>
      <c r="C228" s="177"/>
      <c r="D228" s="178"/>
      <c r="E228" s="179" t="s">
        <v>406</v>
      </c>
      <c r="F228" s="180"/>
      <c r="G228" s="181" t="s">
        <v>342</v>
      </c>
      <c r="H228" s="287" t="s">
        <v>1050</v>
      </c>
      <c r="I228" s="177" t="s">
        <v>108</v>
      </c>
      <c r="J228" s="178"/>
      <c r="K228" s="182" t="s">
        <v>1016</v>
      </c>
    </row>
    <row r="229" spans="1:11" ht="36" customHeight="1" thickBot="1" x14ac:dyDescent="0.45">
      <c r="A229" s="175" t="s">
        <v>361</v>
      </c>
      <c r="B229" s="176" t="s">
        <v>341</v>
      </c>
      <c r="C229" s="177"/>
      <c r="D229" s="178"/>
      <c r="E229" s="179" t="s">
        <v>406</v>
      </c>
      <c r="F229" s="180"/>
      <c r="G229" s="181" t="s">
        <v>342</v>
      </c>
      <c r="H229" s="287" t="s">
        <v>1051</v>
      </c>
      <c r="I229" s="177" t="s">
        <v>108</v>
      </c>
      <c r="J229" s="178"/>
      <c r="K229" s="182"/>
    </row>
    <row r="230" spans="1:11" ht="36" customHeight="1" thickBot="1" x14ac:dyDescent="0.45">
      <c r="A230" s="98" t="s">
        <v>362</v>
      </c>
      <c r="B230" s="99" t="s">
        <v>21</v>
      </c>
      <c r="C230" s="100" t="s">
        <v>514</v>
      </c>
      <c r="D230" s="101"/>
      <c r="E230" s="102" t="s">
        <v>401</v>
      </c>
      <c r="F230" s="103"/>
      <c r="G230" s="104"/>
      <c r="H230" s="100"/>
      <c r="I230" s="100"/>
      <c r="J230" s="101"/>
      <c r="K230" s="105"/>
    </row>
    <row r="231" spans="1:11" ht="36" customHeight="1" outlineLevel="1" thickBot="1" x14ac:dyDescent="0.45">
      <c r="A231" s="33" t="s">
        <v>190</v>
      </c>
      <c r="B231" s="34" t="s">
        <v>22</v>
      </c>
      <c r="C231" s="35" t="s">
        <v>515</v>
      </c>
      <c r="D231" s="36"/>
      <c r="E231" s="37" t="s">
        <v>22</v>
      </c>
      <c r="F231" s="38">
        <v>1</v>
      </c>
      <c r="G231" s="39"/>
      <c r="H231" s="36"/>
      <c r="I231" s="35"/>
      <c r="J231" s="36"/>
      <c r="K231" s="40"/>
    </row>
    <row r="232" spans="1:11" ht="81.75" customHeight="1" outlineLevel="2" x14ac:dyDescent="0.4">
      <c r="A232" s="41" t="s">
        <v>111</v>
      </c>
      <c r="B232" s="42" t="s">
        <v>22</v>
      </c>
      <c r="C232" s="43"/>
      <c r="D232" s="17" t="s">
        <v>70</v>
      </c>
      <c r="E232" s="44" t="s">
        <v>22</v>
      </c>
      <c r="F232" s="16">
        <v>1</v>
      </c>
      <c r="G232" s="45" t="s">
        <v>8</v>
      </c>
      <c r="H232" s="290" t="s">
        <v>1054</v>
      </c>
      <c r="I232" s="43" t="s">
        <v>108</v>
      </c>
      <c r="J232" s="17" t="s">
        <v>63</v>
      </c>
      <c r="K232" s="47" t="s">
        <v>67</v>
      </c>
    </row>
    <row r="233" spans="1:11" ht="104.25" customHeight="1" outlineLevel="2" x14ac:dyDescent="0.4">
      <c r="A233" s="41" t="s">
        <v>60</v>
      </c>
      <c r="B233" s="42" t="s">
        <v>22</v>
      </c>
      <c r="C233" s="43"/>
      <c r="D233" s="17" t="s">
        <v>71</v>
      </c>
      <c r="E233" s="44" t="s">
        <v>22</v>
      </c>
      <c r="F233" s="16">
        <v>1</v>
      </c>
      <c r="G233" s="45" t="s">
        <v>8</v>
      </c>
      <c r="H233" s="290" t="s">
        <v>1055</v>
      </c>
      <c r="I233" s="43" t="s">
        <v>108</v>
      </c>
      <c r="J233" s="17" t="s">
        <v>63</v>
      </c>
      <c r="K233" s="47" t="s">
        <v>67</v>
      </c>
    </row>
    <row r="234" spans="1:11" ht="36" customHeight="1" outlineLevel="2" thickBot="1" x14ac:dyDescent="0.45">
      <c r="A234" s="48" t="s">
        <v>65</v>
      </c>
      <c r="B234" s="49" t="s">
        <v>22</v>
      </c>
      <c r="C234" s="50"/>
      <c r="D234" s="51" t="s">
        <v>72</v>
      </c>
      <c r="E234" s="52" t="s">
        <v>22</v>
      </c>
      <c r="F234" s="53">
        <v>1</v>
      </c>
      <c r="G234" s="54" t="s">
        <v>8</v>
      </c>
      <c r="H234" s="51" t="s">
        <v>158</v>
      </c>
      <c r="I234" s="50" t="s">
        <v>108</v>
      </c>
      <c r="J234" s="51" t="s">
        <v>63</v>
      </c>
      <c r="K234" s="55" t="s">
        <v>67</v>
      </c>
    </row>
    <row r="235" spans="1:11" ht="36" customHeight="1" outlineLevel="1" thickBot="1" x14ac:dyDescent="0.45">
      <c r="A235" s="33" t="s">
        <v>364</v>
      </c>
      <c r="B235" s="34" t="s">
        <v>23</v>
      </c>
      <c r="C235" s="35" t="s">
        <v>516</v>
      </c>
      <c r="D235" s="36"/>
      <c r="E235" s="37" t="s">
        <v>23</v>
      </c>
      <c r="F235" s="38">
        <v>3</v>
      </c>
      <c r="G235" s="39"/>
      <c r="H235" s="35"/>
      <c r="I235" s="35"/>
      <c r="J235" s="36"/>
      <c r="K235" s="40"/>
    </row>
    <row r="236" spans="1:11" ht="36" customHeight="1" outlineLevel="2" x14ac:dyDescent="0.4">
      <c r="A236" s="41" t="s">
        <v>365</v>
      </c>
      <c r="B236" s="42" t="s">
        <v>23</v>
      </c>
      <c r="C236" s="214"/>
      <c r="D236" s="17" t="s">
        <v>81</v>
      </c>
      <c r="E236" s="44" t="s">
        <v>23</v>
      </c>
      <c r="F236" s="16">
        <v>3</v>
      </c>
      <c r="G236" s="45" t="s">
        <v>213</v>
      </c>
      <c r="H236" s="43" t="s">
        <v>366</v>
      </c>
      <c r="I236" s="43"/>
      <c r="J236" s="17" t="s">
        <v>63</v>
      </c>
      <c r="K236" s="47"/>
    </row>
    <row r="237" spans="1:11" ht="36" customHeight="1" outlineLevel="2" x14ac:dyDescent="0.4">
      <c r="A237" s="65" t="s">
        <v>113</v>
      </c>
      <c r="B237" s="66" t="s">
        <v>23</v>
      </c>
      <c r="C237" s="215" t="s">
        <v>363</v>
      </c>
      <c r="D237" s="68" t="s">
        <v>5</v>
      </c>
      <c r="E237" s="69" t="s">
        <v>23</v>
      </c>
      <c r="F237" s="216">
        <v>3</v>
      </c>
      <c r="G237" s="71"/>
      <c r="H237" s="67"/>
      <c r="I237" s="217"/>
      <c r="J237" s="68" t="s">
        <v>63</v>
      </c>
      <c r="K237" s="72"/>
    </row>
    <row r="238" spans="1:11" ht="36" customHeight="1" outlineLevel="2" x14ac:dyDescent="0.4">
      <c r="A238" s="41" t="s">
        <v>114</v>
      </c>
      <c r="B238" s="42" t="s">
        <v>23</v>
      </c>
      <c r="C238" s="215" t="s">
        <v>363</v>
      </c>
      <c r="D238" s="17" t="s">
        <v>74</v>
      </c>
      <c r="E238" s="44" t="s">
        <v>23</v>
      </c>
      <c r="F238" s="216">
        <v>3</v>
      </c>
      <c r="G238" s="45"/>
      <c r="H238" s="43"/>
      <c r="I238" s="217"/>
      <c r="J238" s="17" t="s">
        <v>63</v>
      </c>
      <c r="K238" s="47"/>
    </row>
    <row r="239" spans="1:11" ht="36" customHeight="1" outlineLevel="2" thickBot="1" x14ac:dyDescent="0.45">
      <c r="A239" s="48" t="s">
        <v>68</v>
      </c>
      <c r="B239" s="49" t="s">
        <v>23</v>
      </c>
      <c r="C239" s="218" t="s">
        <v>363</v>
      </c>
      <c r="D239" s="51" t="s">
        <v>73</v>
      </c>
      <c r="E239" s="52" t="s">
        <v>23</v>
      </c>
      <c r="F239" s="219">
        <v>3</v>
      </c>
      <c r="G239" s="54"/>
      <c r="H239" s="50"/>
      <c r="I239" s="220"/>
      <c r="J239" s="51" t="s">
        <v>63</v>
      </c>
      <c r="K239" s="55"/>
    </row>
    <row r="240" spans="1:11" ht="36" customHeight="1" thickBot="1" x14ac:dyDescent="0.45">
      <c r="A240" s="142" t="s">
        <v>367</v>
      </c>
      <c r="B240" s="221" t="s">
        <v>330</v>
      </c>
      <c r="C240" s="147" t="s">
        <v>517</v>
      </c>
      <c r="D240" s="144"/>
      <c r="E240" s="166"/>
      <c r="F240" s="166"/>
      <c r="G240" s="146"/>
      <c r="H240" s="147"/>
      <c r="I240" s="147"/>
      <c r="J240" s="144"/>
      <c r="K240" s="222"/>
    </row>
    <row r="241" spans="1:11" ht="36" customHeight="1" outlineLevel="1" thickBot="1" x14ac:dyDescent="0.45">
      <c r="A241" s="149" t="s">
        <v>368</v>
      </c>
      <c r="B241" s="150" t="s">
        <v>22</v>
      </c>
      <c r="C241" s="154"/>
      <c r="D241" s="151"/>
      <c r="E241" s="152" t="s">
        <v>22</v>
      </c>
      <c r="F241" s="165">
        <v>1</v>
      </c>
      <c r="G241" s="153" t="s">
        <v>8</v>
      </c>
      <c r="H241" s="151" t="s">
        <v>369</v>
      </c>
      <c r="I241" s="154" t="s">
        <v>334</v>
      </c>
      <c r="J241" s="151"/>
      <c r="K241" s="155"/>
    </row>
    <row r="242" spans="1:11" ht="36" customHeight="1" outlineLevel="1" thickBot="1" x14ac:dyDescent="0.45">
      <c r="A242" s="156" t="s">
        <v>370</v>
      </c>
      <c r="B242" s="157" t="s">
        <v>23</v>
      </c>
      <c r="C242" s="163"/>
      <c r="D242" s="159"/>
      <c r="E242" s="160" t="s">
        <v>23</v>
      </c>
      <c r="F242" s="184">
        <v>3</v>
      </c>
      <c r="G242" s="162" t="s">
        <v>15</v>
      </c>
      <c r="H242" s="163" t="s">
        <v>371</v>
      </c>
      <c r="I242" s="163" t="s">
        <v>334</v>
      </c>
      <c r="J242" s="159"/>
      <c r="K242" s="164"/>
    </row>
    <row r="243" spans="1:11" ht="36" customHeight="1" thickBot="1" x14ac:dyDescent="0.45">
      <c r="A243" s="24" t="s">
        <v>372</v>
      </c>
      <c r="B243" s="205" t="s">
        <v>330</v>
      </c>
      <c r="C243" s="26" t="s">
        <v>518</v>
      </c>
      <c r="D243" s="27"/>
      <c r="E243" s="29"/>
      <c r="F243" s="29"/>
      <c r="G243" s="30"/>
      <c r="H243" s="26"/>
      <c r="I243" s="26"/>
      <c r="J243" s="27"/>
      <c r="K243" s="206"/>
    </row>
    <row r="244" spans="1:11" ht="36" customHeight="1" outlineLevel="1" thickBot="1" x14ac:dyDescent="0.45">
      <c r="A244" s="113" t="s">
        <v>373</v>
      </c>
      <c r="B244" s="114" t="s">
        <v>22</v>
      </c>
      <c r="C244" s="115"/>
      <c r="D244" s="116"/>
      <c r="E244" s="117" t="s">
        <v>22</v>
      </c>
      <c r="F244" s="118">
        <v>1</v>
      </c>
      <c r="G244" s="119" t="s">
        <v>8</v>
      </c>
      <c r="H244" s="116" t="s">
        <v>519</v>
      </c>
      <c r="I244" s="115" t="s">
        <v>334</v>
      </c>
      <c r="J244" s="116"/>
      <c r="K244" s="120"/>
    </row>
    <row r="245" spans="1:11" ht="36" customHeight="1" outlineLevel="1" thickBot="1" x14ac:dyDescent="0.45">
      <c r="A245" s="209" t="s">
        <v>374</v>
      </c>
      <c r="B245" s="223" t="s">
        <v>23</v>
      </c>
      <c r="C245" s="158"/>
      <c r="D245" s="211"/>
      <c r="E245" s="224" t="s">
        <v>23</v>
      </c>
      <c r="F245" s="161">
        <v>3</v>
      </c>
      <c r="G245" s="212" t="s">
        <v>15</v>
      </c>
      <c r="H245" s="158" t="s">
        <v>375</v>
      </c>
      <c r="I245" s="158" t="s">
        <v>334</v>
      </c>
      <c r="J245" s="211"/>
      <c r="K245" s="225"/>
    </row>
    <row r="246" spans="1:11" ht="36" customHeight="1" thickBot="1" x14ac:dyDescent="0.45">
      <c r="A246" s="24" t="s">
        <v>376</v>
      </c>
      <c r="B246" s="205" t="s">
        <v>330</v>
      </c>
      <c r="C246" s="26" t="s">
        <v>520</v>
      </c>
      <c r="D246" s="27"/>
      <c r="E246" s="29"/>
      <c r="F246" s="29"/>
      <c r="G246" s="30"/>
      <c r="H246" s="26"/>
      <c r="I246" s="26"/>
      <c r="J246" s="27"/>
      <c r="K246" s="206"/>
    </row>
    <row r="247" spans="1:11" ht="36" customHeight="1" outlineLevel="1" thickBot="1" x14ac:dyDescent="0.45">
      <c r="A247" s="113" t="s">
        <v>377</v>
      </c>
      <c r="B247" s="114" t="s">
        <v>22</v>
      </c>
      <c r="C247" s="115"/>
      <c r="D247" s="116"/>
      <c r="E247" s="117" t="s">
        <v>22</v>
      </c>
      <c r="F247" s="118">
        <v>1</v>
      </c>
      <c r="G247" s="119" t="s">
        <v>8</v>
      </c>
      <c r="H247" s="116" t="s">
        <v>378</v>
      </c>
      <c r="I247" s="115" t="s">
        <v>334</v>
      </c>
      <c r="J247" s="116"/>
      <c r="K247" s="120"/>
    </row>
    <row r="248" spans="1:11" ht="36" customHeight="1" outlineLevel="1" thickBot="1" x14ac:dyDescent="0.45">
      <c r="A248" s="209" t="s">
        <v>379</v>
      </c>
      <c r="B248" s="223" t="s">
        <v>23</v>
      </c>
      <c r="C248" s="158"/>
      <c r="D248" s="211"/>
      <c r="E248" s="224" t="s">
        <v>23</v>
      </c>
      <c r="F248" s="161">
        <v>3</v>
      </c>
      <c r="G248" s="212" t="s">
        <v>15</v>
      </c>
      <c r="H248" s="158" t="s">
        <v>380</v>
      </c>
      <c r="I248" s="158" t="s">
        <v>334</v>
      </c>
      <c r="J248" s="211"/>
      <c r="K248" s="225"/>
    </row>
    <row r="249" spans="1:11" ht="36" customHeight="1" thickBot="1" x14ac:dyDescent="0.45">
      <c r="A249" s="24" t="s">
        <v>381</v>
      </c>
      <c r="B249" s="205" t="s">
        <v>330</v>
      </c>
      <c r="C249" s="26" t="s">
        <v>521</v>
      </c>
      <c r="D249" s="27"/>
      <c r="E249" s="29"/>
      <c r="F249" s="29"/>
      <c r="G249" s="30"/>
      <c r="H249" s="26"/>
      <c r="I249" s="26"/>
      <c r="J249" s="27"/>
      <c r="K249" s="206"/>
    </row>
    <row r="250" spans="1:11" ht="36" customHeight="1" outlineLevel="1" thickBot="1" x14ac:dyDescent="0.45">
      <c r="A250" s="113" t="s">
        <v>382</v>
      </c>
      <c r="B250" s="114" t="s">
        <v>22</v>
      </c>
      <c r="C250" s="115"/>
      <c r="D250" s="116"/>
      <c r="E250" s="117" t="s">
        <v>22</v>
      </c>
      <c r="F250" s="118">
        <v>1</v>
      </c>
      <c r="G250" s="119" t="s">
        <v>8</v>
      </c>
      <c r="H250" s="116" t="s">
        <v>522</v>
      </c>
      <c r="I250" s="115" t="s">
        <v>334</v>
      </c>
      <c r="J250" s="116"/>
      <c r="K250" s="120"/>
    </row>
    <row r="251" spans="1:11" ht="36" customHeight="1" outlineLevel="1" thickBot="1" x14ac:dyDescent="0.45">
      <c r="A251" s="209" t="s">
        <v>383</v>
      </c>
      <c r="B251" s="223" t="s">
        <v>23</v>
      </c>
      <c r="C251" s="158"/>
      <c r="D251" s="211"/>
      <c r="E251" s="224" t="s">
        <v>23</v>
      </c>
      <c r="F251" s="161">
        <v>3</v>
      </c>
      <c r="G251" s="212" t="s">
        <v>15</v>
      </c>
      <c r="H251" s="158" t="s">
        <v>384</v>
      </c>
      <c r="I251" s="158" t="s">
        <v>334</v>
      </c>
      <c r="J251" s="211"/>
      <c r="K251" s="225"/>
    </row>
    <row r="252" spans="1:11" ht="36" customHeight="1" thickBot="1" x14ac:dyDescent="0.45">
      <c r="A252" s="24" t="s">
        <v>385</v>
      </c>
      <c r="B252" s="205" t="s">
        <v>330</v>
      </c>
      <c r="C252" s="26" t="s">
        <v>523</v>
      </c>
      <c r="D252" s="27"/>
      <c r="E252" s="29"/>
      <c r="F252" s="29"/>
      <c r="G252" s="30"/>
      <c r="H252" s="26"/>
      <c r="I252" s="26"/>
      <c r="J252" s="27"/>
      <c r="K252" s="206"/>
    </row>
    <row r="253" spans="1:11" ht="36" customHeight="1" outlineLevel="1" thickBot="1" x14ac:dyDescent="0.45">
      <c r="A253" s="113" t="s">
        <v>386</v>
      </c>
      <c r="B253" s="114" t="s">
        <v>22</v>
      </c>
      <c r="C253" s="115"/>
      <c r="D253" s="116"/>
      <c r="E253" s="117" t="s">
        <v>22</v>
      </c>
      <c r="F253" s="118">
        <v>1</v>
      </c>
      <c r="G253" s="119" t="s">
        <v>8</v>
      </c>
      <c r="H253" s="116" t="s">
        <v>524</v>
      </c>
      <c r="I253" s="115" t="s">
        <v>108</v>
      </c>
      <c r="J253" s="116"/>
      <c r="K253" s="120"/>
    </row>
    <row r="254" spans="1:11" ht="36" customHeight="1" outlineLevel="1" thickBot="1" x14ac:dyDescent="0.45">
      <c r="A254" s="209" t="s">
        <v>387</v>
      </c>
      <c r="B254" s="223" t="s">
        <v>23</v>
      </c>
      <c r="C254" s="158"/>
      <c r="D254" s="211"/>
      <c r="E254" s="224" t="s">
        <v>23</v>
      </c>
      <c r="F254" s="161">
        <v>3</v>
      </c>
      <c r="G254" s="212" t="s">
        <v>15</v>
      </c>
      <c r="H254" s="158" t="s">
        <v>525</v>
      </c>
      <c r="I254" s="158" t="s">
        <v>108</v>
      </c>
      <c r="J254" s="211"/>
      <c r="K254" s="225"/>
    </row>
    <row r="255" spans="1:11" ht="36" customHeight="1" thickBot="1" x14ac:dyDescent="0.45">
      <c r="A255" s="24" t="s">
        <v>388</v>
      </c>
      <c r="B255" s="205" t="s">
        <v>330</v>
      </c>
      <c r="C255" s="26" t="s">
        <v>526</v>
      </c>
      <c r="D255" s="27"/>
      <c r="E255" s="29"/>
      <c r="F255" s="29"/>
      <c r="G255" s="30"/>
      <c r="H255" s="26"/>
      <c r="I255" s="26"/>
      <c r="J255" s="27"/>
      <c r="K255" s="206"/>
    </row>
    <row r="256" spans="1:11" ht="36" customHeight="1" outlineLevel="1" thickBot="1" x14ac:dyDescent="0.45">
      <c r="A256" s="113" t="s">
        <v>389</v>
      </c>
      <c r="B256" s="114" t="s">
        <v>22</v>
      </c>
      <c r="C256" s="115"/>
      <c r="D256" s="116"/>
      <c r="E256" s="117" t="s">
        <v>22</v>
      </c>
      <c r="F256" s="118">
        <v>1</v>
      </c>
      <c r="G256" s="119" t="s">
        <v>8</v>
      </c>
      <c r="H256" s="116" t="s">
        <v>527</v>
      </c>
      <c r="I256" s="115" t="s">
        <v>334</v>
      </c>
      <c r="J256" s="116"/>
      <c r="K256" s="120"/>
    </row>
    <row r="257" spans="1:11" ht="36" customHeight="1" outlineLevel="1" thickBot="1" x14ac:dyDescent="0.45">
      <c r="A257" s="209" t="s">
        <v>390</v>
      </c>
      <c r="B257" s="223" t="s">
        <v>23</v>
      </c>
      <c r="C257" s="158"/>
      <c r="D257" s="211"/>
      <c r="E257" s="224" t="s">
        <v>23</v>
      </c>
      <c r="F257" s="161">
        <v>3</v>
      </c>
      <c r="G257" s="212" t="s">
        <v>15</v>
      </c>
      <c r="H257" s="158" t="s">
        <v>528</v>
      </c>
      <c r="I257" s="158" t="s">
        <v>334</v>
      </c>
      <c r="J257" s="211"/>
      <c r="K257" s="225"/>
    </row>
    <row r="258" spans="1:11" ht="36" customHeight="1" thickBot="1" x14ac:dyDescent="0.45">
      <c r="A258" s="24" t="s">
        <v>391</v>
      </c>
      <c r="B258" s="205" t="s">
        <v>330</v>
      </c>
      <c r="C258" s="26" t="s">
        <v>529</v>
      </c>
      <c r="D258" s="27"/>
      <c r="E258" s="29"/>
      <c r="F258" s="29"/>
      <c r="G258" s="30"/>
      <c r="H258" s="26"/>
      <c r="I258" s="26"/>
      <c r="J258" s="27"/>
      <c r="K258" s="206"/>
    </row>
    <row r="259" spans="1:11" ht="36" customHeight="1" outlineLevel="1" thickBot="1" x14ac:dyDescent="0.45">
      <c r="A259" s="113" t="s">
        <v>392</v>
      </c>
      <c r="B259" s="114" t="s">
        <v>22</v>
      </c>
      <c r="C259" s="115"/>
      <c r="D259" s="116"/>
      <c r="E259" s="117" t="s">
        <v>22</v>
      </c>
      <c r="F259" s="118">
        <v>1</v>
      </c>
      <c r="G259" s="119" t="s">
        <v>8</v>
      </c>
      <c r="H259" s="116" t="s">
        <v>530</v>
      </c>
      <c r="I259" s="115" t="s">
        <v>334</v>
      </c>
      <c r="J259" s="116"/>
      <c r="K259" s="120"/>
    </row>
    <row r="260" spans="1:11" ht="36" customHeight="1" outlineLevel="1" thickBot="1" x14ac:dyDescent="0.45">
      <c r="A260" s="209" t="s">
        <v>393</v>
      </c>
      <c r="B260" s="223" t="s">
        <v>23</v>
      </c>
      <c r="C260" s="158"/>
      <c r="D260" s="211"/>
      <c r="E260" s="224" t="s">
        <v>23</v>
      </c>
      <c r="F260" s="161">
        <v>3</v>
      </c>
      <c r="G260" s="212" t="s">
        <v>15</v>
      </c>
      <c r="H260" s="158" t="s">
        <v>394</v>
      </c>
      <c r="I260" s="158" t="s">
        <v>334</v>
      </c>
      <c r="J260" s="211"/>
      <c r="K260" s="225"/>
    </row>
    <row r="261" spans="1:11" ht="36" customHeight="1" thickBot="1" x14ac:dyDescent="0.45">
      <c r="A261" s="24" t="s">
        <v>395</v>
      </c>
      <c r="B261" s="205" t="s">
        <v>330</v>
      </c>
      <c r="C261" s="26" t="s">
        <v>531</v>
      </c>
      <c r="D261" s="27"/>
      <c r="E261" s="29"/>
      <c r="F261" s="29"/>
      <c r="G261" s="30"/>
      <c r="H261" s="26"/>
      <c r="I261" s="26"/>
      <c r="J261" s="27"/>
      <c r="K261" s="206"/>
    </row>
    <row r="262" spans="1:11" ht="36" customHeight="1" outlineLevel="1" thickBot="1" x14ac:dyDescent="0.45">
      <c r="A262" s="113" t="s">
        <v>396</v>
      </c>
      <c r="B262" s="114" t="s">
        <v>22</v>
      </c>
      <c r="C262" s="115"/>
      <c r="D262" s="116"/>
      <c r="E262" s="117" t="s">
        <v>22</v>
      </c>
      <c r="F262" s="118">
        <v>1</v>
      </c>
      <c r="G262" s="119" t="s">
        <v>8</v>
      </c>
      <c r="H262" s="116" t="s">
        <v>532</v>
      </c>
      <c r="I262" s="115" t="s">
        <v>108</v>
      </c>
      <c r="J262" s="116"/>
      <c r="K262" s="120"/>
    </row>
    <row r="263" spans="1:11" ht="36" customHeight="1" outlineLevel="1" thickBot="1" x14ac:dyDescent="0.45">
      <c r="A263" s="113" t="s">
        <v>397</v>
      </c>
      <c r="B263" s="114" t="s">
        <v>23</v>
      </c>
      <c r="C263" s="115"/>
      <c r="D263" s="116"/>
      <c r="E263" s="117" t="s">
        <v>23</v>
      </c>
      <c r="F263" s="118">
        <v>3</v>
      </c>
      <c r="G263" s="119" t="s">
        <v>15</v>
      </c>
      <c r="H263" s="115" t="s">
        <v>398</v>
      </c>
      <c r="I263" s="115" t="s">
        <v>108</v>
      </c>
      <c r="J263" s="116"/>
      <c r="K263" s="120"/>
    </row>
    <row r="264" spans="1:11" ht="36" customHeight="1" thickBot="1" x14ac:dyDescent="0.45">
      <c r="A264" s="226" t="s">
        <v>412</v>
      </c>
      <c r="B264" s="227" t="s">
        <v>21</v>
      </c>
      <c r="C264" s="228" t="s">
        <v>533</v>
      </c>
      <c r="D264" s="228"/>
      <c r="E264" s="227"/>
      <c r="F264" s="229"/>
      <c r="G264" s="230"/>
      <c r="H264" s="228"/>
      <c r="I264" s="228"/>
      <c r="J264" s="228"/>
      <c r="K264" s="231"/>
    </row>
    <row r="265" spans="1:11" ht="36" customHeight="1" outlineLevel="1" thickBot="1" x14ac:dyDescent="0.45">
      <c r="A265" s="232" t="s">
        <v>413</v>
      </c>
      <c r="B265" s="233" t="s">
        <v>22</v>
      </c>
      <c r="C265" s="234"/>
      <c r="D265" s="234"/>
      <c r="E265" s="233" t="s">
        <v>22</v>
      </c>
      <c r="F265" s="233"/>
      <c r="G265" s="235" t="s">
        <v>8</v>
      </c>
      <c r="H265" s="294" t="s">
        <v>448</v>
      </c>
      <c r="I265" s="235" t="s">
        <v>534</v>
      </c>
      <c r="J265" s="234"/>
      <c r="K265" s="236"/>
    </row>
    <row r="266" spans="1:11" ht="36" customHeight="1" outlineLevel="1" thickBot="1" x14ac:dyDescent="0.45">
      <c r="A266" s="237" t="s">
        <v>414</v>
      </c>
      <c r="B266" s="238" t="s">
        <v>23</v>
      </c>
      <c r="C266" s="239"/>
      <c r="D266" s="239"/>
      <c r="E266" s="238" t="s">
        <v>23</v>
      </c>
      <c r="F266" s="238"/>
      <c r="G266" s="240" t="s">
        <v>15</v>
      </c>
      <c r="H266" s="239" t="s">
        <v>415</v>
      </c>
      <c r="I266" s="240" t="s">
        <v>535</v>
      </c>
      <c r="J266" s="239"/>
      <c r="K266" s="241"/>
    </row>
    <row r="267" spans="1:11" ht="36" customHeight="1" thickBot="1" x14ac:dyDescent="0.45">
      <c r="A267" s="242" t="s">
        <v>416</v>
      </c>
      <c r="B267" s="243" t="s">
        <v>21</v>
      </c>
      <c r="C267" s="244" t="s">
        <v>536</v>
      </c>
      <c r="D267" s="244"/>
      <c r="E267" s="243"/>
      <c r="F267" s="245"/>
      <c r="G267" s="246"/>
      <c r="H267" s="244"/>
      <c r="I267" s="244"/>
      <c r="J267" s="244"/>
      <c r="K267" s="247"/>
    </row>
    <row r="268" spans="1:11" ht="36" customHeight="1" outlineLevel="1" thickBot="1" x14ac:dyDescent="0.45">
      <c r="A268" s="248" t="s">
        <v>417</v>
      </c>
      <c r="B268" s="249" t="s">
        <v>22</v>
      </c>
      <c r="C268" s="250"/>
      <c r="D268" s="250"/>
      <c r="E268" s="249" t="s">
        <v>22</v>
      </c>
      <c r="F268" s="249"/>
      <c r="G268" s="251" t="s">
        <v>8</v>
      </c>
      <c r="H268" s="295" t="s">
        <v>418</v>
      </c>
      <c r="I268" s="251" t="s">
        <v>334</v>
      </c>
      <c r="J268" s="250"/>
      <c r="K268" s="252" t="s">
        <v>419</v>
      </c>
    </row>
    <row r="269" spans="1:11" ht="36" customHeight="1" outlineLevel="1" thickBot="1" x14ac:dyDescent="0.45">
      <c r="A269" s="253" t="s">
        <v>420</v>
      </c>
      <c r="B269" s="254" t="s">
        <v>23</v>
      </c>
      <c r="C269" s="255"/>
      <c r="D269" s="255"/>
      <c r="E269" s="254" t="s">
        <v>23</v>
      </c>
      <c r="F269" s="254"/>
      <c r="G269" s="256" t="s">
        <v>15</v>
      </c>
      <c r="H269" s="255" t="s">
        <v>421</v>
      </c>
      <c r="I269" s="256" t="s">
        <v>334</v>
      </c>
      <c r="J269" s="255"/>
      <c r="K269" s="257" t="s">
        <v>419</v>
      </c>
    </row>
    <row r="270" spans="1:11" ht="36" customHeight="1" thickBot="1" x14ac:dyDescent="0.45">
      <c r="A270" s="258" t="s">
        <v>422</v>
      </c>
      <c r="B270" s="259" t="s">
        <v>21</v>
      </c>
      <c r="C270" s="260" t="s">
        <v>537</v>
      </c>
      <c r="D270" s="261"/>
      <c r="E270" s="259"/>
      <c r="F270" s="262"/>
      <c r="G270" s="263"/>
      <c r="H270" s="261"/>
      <c r="I270" s="260"/>
      <c r="J270" s="261"/>
      <c r="K270" s="264"/>
    </row>
    <row r="271" spans="1:11" ht="36" customHeight="1" outlineLevel="1" thickBot="1" x14ac:dyDescent="0.45">
      <c r="A271" s="248" t="s">
        <v>423</v>
      </c>
      <c r="B271" s="249" t="s">
        <v>22</v>
      </c>
      <c r="C271" s="250" t="s">
        <v>424</v>
      </c>
      <c r="D271" s="250"/>
      <c r="E271" s="249" t="s">
        <v>22</v>
      </c>
      <c r="F271" s="265"/>
      <c r="G271" s="251"/>
      <c r="H271" s="295"/>
      <c r="I271" s="250"/>
      <c r="J271" s="250"/>
      <c r="K271" s="252"/>
    </row>
    <row r="272" spans="1:11" ht="36" customHeight="1" outlineLevel="1" thickBot="1" x14ac:dyDescent="0.45">
      <c r="A272" s="253" t="s">
        <v>425</v>
      </c>
      <c r="B272" s="254" t="s">
        <v>23</v>
      </c>
      <c r="C272" s="255" t="s">
        <v>426</v>
      </c>
      <c r="D272" s="255"/>
      <c r="E272" s="254" t="s">
        <v>23</v>
      </c>
      <c r="F272" s="266"/>
      <c r="G272" s="256"/>
      <c r="H272" s="255"/>
      <c r="I272" s="255"/>
      <c r="J272" s="255"/>
      <c r="K272" s="257"/>
    </row>
    <row r="273" spans="1:12" ht="36" customHeight="1" thickBot="1" x14ac:dyDescent="0.45">
      <c r="A273" s="242" t="s">
        <v>427</v>
      </c>
      <c r="B273" s="243" t="s">
        <v>21</v>
      </c>
      <c r="C273" s="244" t="s">
        <v>428</v>
      </c>
      <c r="D273" s="244"/>
      <c r="E273" s="243"/>
      <c r="F273" s="245"/>
      <c r="G273" s="246"/>
      <c r="H273" s="244"/>
      <c r="I273" s="244"/>
      <c r="J273" s="244"/>
      <c r="K273" s="247"/>
    </row>
    <row r="274" spans="1:12" ht="36" customHeight="1" outlineLevel="1" thickBot="1" x14ac:dyDescent="0.45">
      <c r="A274" s="232" t="s">
        <v>429</v>
      </c>
      <c r="B274" s="233" t="s">
        <v>22</v>
      </c>
      <c r="C274" s="234" t="s">
        <v>430</v>
      </c>
      <c r="D274" s="234"/>
      <c r="E274" s="233" t="s">
        <v>22</v>
      </c>
      <c r="F274" s="267"/>
      <c r="G274" s="235" t="s">
        <v>431</v>
      </c>
      <c r="H274" s="294" t="s">
        <v>538</v>
      </c>
      <c r="I274" s="234" t="s">
        <v>539</v>
      </c>
      <c r="J274" s="234"/>
      <c r="K274" s="236"/>
    </row>
    <row r="275" spans="1:12" ht="36" customHeight="1" outlineLevel="1" thickBot="1" x14ac:dyDescent="0.45">
      <c r="A275" s="237" t="s">
        <v>432</v>
      </c>
      <c r="B275" s="238" t="s">
        <v>23</v>
      </c>
      <c r="C275" s="239" t="s">
        <v>433</v>
      </c>
      <c r="D275" s="239"/>
      <c r="E275" s="238" t="s">
        <v>23</v>
      </c>
      <c r="F275" s="268"/>
      <c r="G275" s="240" t="s">
        <v>431</v>
      </c>
      <c r="H275" s="239" t="s">
        <v>540</v>
      </c>
      <c r="I275" s="239" t="s">
        <v>541</v>
      </c>
      <c r="J275" s="239"/>
      <c r="K275" s="241"/>
    </row>
    <row r="276" spans="1:12" ht="36" customHeight="1" thickBot="1" x14ac:dyDescent="0.45">
      <c r="A276" s="242" t="s">
        <v>434</v>
      </c>
      <c r="B276" s="243" t="s">
        <v>21</v>
      </c>
      <c r="C276" s="244" t="s">
        <v>435</v>
      </c>
      <c r="D276" s="244"/>
      <c r="E276" s="243"/>
      <c r="F276" s="245"/>
      <c r="G276" s="246"/>
      <c r="H276" s="244"/>
      <c r="I276" s="244"/>
      <c r="J276" s="244"/>
      <c r="K276" s="247"/>
    </row>
    <row r="277" spans="1:12" ht="36" customHeight="1" outlineLevel="1" thickBot="1" x14ac:dyDescent="0.45">
      <c r="A277" s="248" t="s">
        <v>436</v>
      </c>
      <c r="B277" s="249" t="s">
        <v>22</v>
      </c>
      <c r="C277" s="250" t="s">
        <v>437</v>
      </c>
      <c r="D277" s="250"/>
      <c r="E277" s="249" t="s">
        <v>449</v>
      </c>
      <c r="F277" s="265"/>
      <c r="G277" s="251" t="s">
        <v>438</v>
      </c>
      <c r="H277" s="295"/>
      <c r="I277" s="250" t="s">
        <v>439</v>
      </c>
      <c r="J277" s="250"/>
      <c r="K277" s="252"/>
    </row>
    <row r="278" spans="1:12" ht="36" customHeight="1" outlineLevel="1" thickBot="1" x14ac:dyDescent="0.45">
      <c r="A278" s="253" t="s">
        <v>440</v>
      </c>
      <c r="B278" s="254" t="s">
        <v>23</v>
      </c>
      <c r="C278" s="255" t="s">
        <v>437</v>
      </c>
      <c r="D278" s="255"/>
      <c r="E278" s="254" t="s">
        <v>449</v>
      </c>
      <c r="F278" s="266"/>
      <c r="G278" s="256" t="s">
        <v>438</v>
      </c>
      <c r="H278" s="255"/>
      <c r="I278" s="255" t="s">
        <v>439</v>
      </c>
      <c r="J278" s="255"/>
      <c r="K278" s="257"/>
    </row>
    <row r="279" spans="1:12" ht="36" customHeight="1" thickBot="1" x14ac:dyDescent="0.45">
      <c r="A279" s="242" t="s">
        <v>441</v>
      </c>
      <c r="B279" s="243" t="s">
        <v>330</v>
      </c>
      <c r="C279" s="244" t="s">
        <v>442</v>
      </c>
      <c r="D279" s="244"/>
      <c r="E279" s="243"/>
      <c r="F279" s="245"/>
      <c r="G279" s="246"/>
      <c r="H279" s="244"/>
      <c r="I279" s="244"/>
      <c r="J279" s="244"/>
      <c r="K279" s="247"/>
    </row>
    <row r="280" spans="1:12" ht="36" customHeight="1" outlineLevel="1" thickBot="1" x14ac:dyDescent="0.45">
      <c r="A280" s="248" t="s">
        <v>443</v>
      </c>
      <c r="B280" s="249" t="s">
        <v>22</v>
      </c>
      <c r="C280" s="250" t="s">
        <v>444</v>
      </c>
      <c r="D280" s="250"/>
      <c r="E280" s="249" t="s">
        <v>449</v>
      </c>
      <c r="F280" s="265"/>
      <c r="G280" s="251" t="s">
        <v>438</v>
      </c>
      <c r="H280" s="295"/>
      <c r="I280" s="250" t="s">
        <v>445</v>
      </c>
      <c r="J280" s="250"/>
      <c r="K280" s="252"/>
    </row>
    <row r="281" spans="1:12" ht="36" customHeight="1" outlineLevel="1" thickBot="1" x14ac:dyDescent="0.45">
      <c r="A281" s="253" t="s">
        <v>446</v>
      </c>
      <c r="B281" s="254" t="s">
        <v>23</v>
      </c>
      <c r="C281" s="255" t="s">
        <v>447</v>
      </c>
      <c r="D281" s="255"/>
      <c r="E281" s="254" t="s">
        <v>449</v>
      </c>
      <c r="F281" s="266"/>
      <c r="G281" s="256" t="s">
        <v>438</v>
      </c>
      <c r="H281" s="255"/>
      <c r="I281" s="255" t="s">
        <v>445</v>
      </c>
      <c r="J281" s="255"/>
      <c r="K281" s="257"/>
    </row>
    <row r="282" spans="1:12" s="284" customFormat="1" ht="36" customHeight="1" thickBot="1" x14ac:dyDescent="0.45">
      <c r="A282" s="186" t="s">
        <v>600</v>
      </c>
      <c r="B282" s="285" t="s">
        <v>131</v>
      </c>
      <c r="C282" s="185" t="s">
        <v>588</v>
      </c>
      <c r="D282" s="188"/>
      <c r="E282" s="190" t="s">
        <v>35</v>
      </c>
      <c r="F282" s="190"/>
      <c r="G282" s="191" t="s">
        <v>589</v>
      </c>
      <c r="H282" s="185" t="s">
        <v>1030</v>
      </c>
      <c r="I282" s="185" t="s">
        <v>324</v>
      </c>
      <c r="J282" s="188"/>
      <c r="K282" s="193"/>
      <c r="L282" s="286"/>
    </row>
    <row r="283" spans="1:12" ht="36" customHeight="1" thickBot="1" x14ac:dyDescent="0.45">
      <c r="A283" s="175" t="s">
        <v>607</v>
      </c>
      <c r="B283" s="201" t="s">
        <v>131</v>
      </c>
      <c r="C283" s="177" t="s">
        <v>590</v>
      </c>
      <c r="D283" s="178"/>
      <c r="E283" s="78" t="s">
        <v>35</v>
      </c>
      <c r="F283" s="180"/>
      <c r="G283" s="181" t="s">
        <v>589</v>
      </c>
      <c r="H283" s="75" t="s">
        <v>1031</v>
      </c>
      <c r="I283" s="177" t="s">
        <v>324</v>
      </c>
      <c r="J283" s="178"/>
      <c r="K283" s="202"/>
      <c r="L283"/>
    </row>
    <row r="284" spans="1:12" ht="36" customHeight="1" thickBot="1" x14ac:dyDescent="0.45">
      <c r="A284" s="175" t="s">
        <v>606</v>
      </c>
      <c r="B284" s="201" t="s">
        <v>131</v>
      </c>
      <c r="C284" s="177" t="s">
        <v>590</v>
      </c>
      <c r="D284" s="178"/>
      <c r="E284" s="78" t="s">
        <v>35</v>
      </c>
      <c r="F284" s="180"/>
      <c r="G284" s="181" t="s">
        <v>589</v>
      </c>
      <c r="H284" s="75" t="s">
        <v>1032</v>
      </c>
      <c r="I284" s="177" t="s">
        <v>324</v>
      </c>
      <c r="J284" s="178"/>
      <c r="K284" s="202"/>
    </row>
    <row r="285" spans="1:12" ht="36" customHeight="1" thickBot="1" x14ac:dyDescent="0.45">
      <c r="A285" s="175" t="s">
        <v>605</v>
      </c>
      <c r="B285" s="201" t="s">
        <v>131</v>
      </c>
      <c r="C285" s="177" t="s">
        <v>591</v>
      </c>
      <c r="D285" s="178"/>
      <c r="E285" s="78" t="s">
        <v>35</v>
      </c>
      <c r="F285" s="180"/>
      <c r="G285" s="181" t="s">
        <v>589</v>
      </c>
      <c r="H285" s="75" t="s">
        <v>1033</v>
      </c>
      <c r="I285" s="177" t="s">
        <v>324</v>
      </c>
      <c r="J285" s="178"/>
      <c r="K285" s="202"/>
      <c r="L285" s="271"/>
    </row>
    <row r="286" spans="1:12" ht="36" customHeight="1" thickBot="1" x14ac:dyDescent="0.45">
      <c r="A286" s="175" t="s">
        <v>604</v>
      </c>
      <c r="B286" s="201" t="s">
        <v>131</v>
      </c>
      <c r="C286" s="177" t="s">
        <v>592</v>
      </c>
      <c r="D286" s="178"/>
      <c r="E286" s="78" t="s">
        <v>35</v>
      </c>
      <c r="F286" s="180"/>
      <c r="G286" s="181" t="s">
        <v>589</v>
      </c>
      <c r="H286" s="75" t="s">
        <v>1034</v>
      </c>
      <c r="I286" s="177" t="s">
        <v>324</v>
      </c>
      <c r="J286" s="178"/>
      <c r="K286" s="202"/>
      <c r="L286" s="271"/>
    </row>
    <row r="287" spans="1:12" ht="36" customHeight="1" thickBot="1" x14ac:dyDescent="0.45">
      <c r="A287" s="175" t="s">
        <v>603</v>
      </c>
      <c r="B287" s="201" t="s">
        <v>131</v>
      </c>
      <c r="C287" s="177" t="s">
        <v>593</v>
      </c>
      <c r="D287" s="178"/>
      <c r="E287" s="78" t="s">
        <v>35</v>
      </c>
      <c r="F287" s="180"/>
      <c r="G287" s="181" t="s">
        <v>589</v>
      </c>
      <c r="H287" s="75" t="s">
        <v>1035</v>
      </c>
      <c r="I287" s="177" t="s">
        <v>324</v>
      </c>
      <c r="J287" s="178"/>
      <c r="K287" s="202"/>
      <c r="L287" s="271"/>
    </row>
    <row r="288" spans="1:12" ht="36" customHeight="1" thickBot="1" x14ac:dyDescent="0.45">
      <c r="A288" s="175" t="s">
        <v>602</v>
      </c>
      <c r="B288" s="201" t="s">
        <v>131</v>
      </c>
      <c r="C288" s="177" t="s">
        <v>594</v>
      </c>
      <c r="D288" s="178"/>
      <c r="E288" s="78" t="s">
        <v>35</v>
      </c>
      <c r="F288" s="180"/>
      <c r="G288" s="181" t="s">
        <v>589</v>
      </c>
      <c r="H288" s="75" t="s">
        <v>1036</v>
      </c>
      <c r="I288" s="177" t="s">
        <v>324</v>
      </c>
      <c r="J288" s="178"/>
      <c r="K288" s="202"/>
      <c r="L288" s="271"/>
    </row>
    <row r="289" spans="1:12" ht="36" customHeight="1" thickBot="1" x14ac:dyDescent="0.45">
      <c r="A289" s="175" t="s">
        <v>601</v>
      </c>
      <c r="B289" s="201" t="s">
        <v>131</v>
      </c>
      <c r="C289" s="177" t="s">
        <v>595</v>
      </c>
      <c r="D289" s="178"/>
      <c r="E289" s="78" t="s">
        <v>35</v>
      </c>
      <c r="F289" s="180"/>
      <c r="G289" s="181" t="s">
        <v>589</v>
      </c>
      <c r="H289" s="75" t="s">
        <v>1028</v>
      </c>
      <c r="I289" s="177" t="s">
        <v>324</v>
      </c>
      <c r="J289" s="178"/>
      <c r="K289" s="202"/>
      <c r="L289" s="271"/>
    </row>
    <row r="290" spans="1:12" s="284" customFormat="1" ht="36" customHeight="1" thickBot="1" x14ac:dyDescent="0.45">
      <c r="A290" s="186" t="s">
        <v>599</v>
      </c>
      <c r="B290" s="285" t="s">
        <v>131</v>
      </c>
      <c r="C290" s="185" t="s">
        <v>596</v>
      </c>
      <c r="D290" s="188"/>
      <c r="E290" s="190" t="s">
        <v>35</v>
      </c>
      <c r="F290" s="190"/>
      <c r="G290" s="191" t="s">
        <v>589</v>
      </c>
      <c r="H290" s="185" t="s">
        <v>1027</v>
      </c>
      <c r="I290" s="185" t="s">
        <v>324</v>
      </c>
      <c r="J290" s="188"/>
      <c r="K290" s="193"/>
      <c r="L290" s="286"/>
    </row>
    <row r="291" spans="1:12" s="284" customFormat="1" ht="36" customHeight="1" thickBot="1" x14ac:dyDescent="0.45">
      <c r="A291" s="186" t="s">
        <v>598</v>
      </c>
      <c r="B291" s="285" t="s">
        <v>131</v>
      </c>
      <c r="C291" s="185" t="s">
        <v>597</v>
      </c>
      <c r="D291" s="188"/>
      <c r="E291" s="190" t="s">
        <v>35</v>
      </c>
      <c r="F291" s="190"/>
      <c r="G291" s="191" t="s">
        <v>589</v>
      </c>
      <c r="H291" s="185" t="s">
        <v>1026</v>
      </c>
      <c r="I291" s="185" t="s">
        <v>324</v>
      </c>
      <c r="J291" s="188"/>
      <c r="K291" s="193"/>
      <c r="L291" s="286"/>
    </row>
    <row r="292" spans="1:12" ht="36" customHeight="1" x14ac:dyDescent="0.4">
      <c r="C292" s="296"/>
    </row>
    <row r="294" spans="1:12" ht="36" customHeight="1" x14ac:dyDescent="0.4">
      <c r="D294"/>
    </row>
    <row r="295" spans="1:12" ht="36" customHeight="1" x14ac:dyDescent="0.4">
      <c r="D295" s="23"/>
    </row>
    <row r="296" spans="1:12" ht="36" customHeight="1" x14ac:dyDescent="0.4">
      <c r="E296" s="272"/>
    </row>
    <row r="297" spans="1:12" ht="36" customHeight="1" x14ac:dyDescent="0.4">
      <c r="E297" s="272"/>
    </row>
  </sheetData>
  <dataConsolidate/>
  <hyperlinks>
    <hyperlink ref="H162" r:id="rId1" display="https://www.gov.br/ans/pt-br/acesso-a-informacao/perfil-do-setor/dados-e-indicadores-do-setor" xr:uid="{00000000-0004-0000-0000-000000000000}"/>
    <hyperlink ref="H226" r:id="rId2" display="https://www.gov.br/previc/pt-br/publicacoes/informe-estatistico-trimestral                                             De 1º tri de 2007 a 4º tri de 2008: Tabela 8; Linha &quot;Total&quot;; coluna &quot;Ativo Total (R$)&quot;;_x000a_De 1º tri de 2009 a 4º tri de 2010: Tabela 1.2.1; Linha &quot;Total&quot;; coluna &quot;Ativo Total (R$)&quot;;_x000a_De 1º tri a 4º tri de 2011: Tabela 1.2.1; linha &quot;Total&quot;; coluna do respectivo trimestre;_x000a_De 1º tri de 2012 a 4º tri de 2016; Tabela 1.2.1; Linha &quot;Total&quot;; Colunado respectivo trimestre;_x000a_De 1º tri de 2017 a 1º tri de 2019; Tabela 1.2.2.; Linha &quot;Total&quot;; Coluna do respectivo trimestre;_x000a_De 2º tri de 2017 em diante; Tabela 1.2.1.; Linha &quot;Total&quot;; Coluna do respectivo trimestre._x000a__x000a__x000a_" xr:uid="{1F898F17-ED5F-4F4E-A0AD-D6290AE321B0}"/>
    <hyperlink ref="H227" r:id="rId3" display="https://www.gov.br/previc/pt-br/publicacoes/informe-estatistico-trimestral                                       De 1º tri a 4º tri de 2011: Tabela 1.2.7; Linha &quot;1. PROVISÕES MATEMÁTICAS&quot;; coluna do respectivo trimestre;_x000a_De 1º tri de 2012 até 4º tri de 2016; Tabela 1.2.7; Linha &quot;1. PROVISÕES MATEMÁTICAS&quot;; Coluna do respectivo trimestre;_x000a_De 1º tri de 2017 até 1º tri de 2019; Tabela 1.2.8.; Linha &quot;1. PROVISÕES MATEMÁTICAS&quot;; Coluna do respectivo trimestre._x000a_De 2º tri de 2019 em diante; Tabela 1.2.7; Linha &quot;1. PROVISÕES MATEMÁTICAS&quot;; Coluna do respectivo trimestre" xr:uid="{34F1B4FC-893B-4A43-923B-DB37D5814F08}"/>
    <hyperlink ref="H228" r:id="rId4" display="https://www.gov.br/previc/pt-br/publicacoes/informe-estatistico-trimestral                                     De 1ºtri de 2007 a 4ºtri de 2008: Tabela 10; Linha &quot;Recursos coletados&quot;; coluna &quot;Total&quot;;_x000a_De 1ºtri 2009 a 4ºtri de 2010: Tabela 1.2.6.; Linha &quot;Recursos coletados&quot;; coluna &quot;Total&quot;;_x000a_(*)De 1ºtri a 4º tri de 2011: Tabela 1.2.12; Linha &quot;Total adições&quot;; coluna do respectivo trimestre;_x000a_De 1ºtri de 2012 em diante; Tabela 1.2.12; Linha &quot;Total adições&quot;; Coluna do respectivo trimestre." xr:uid="{3E7879D6-1271-48B6-BC49-E1D16520D592}"/>
    <hyperlink ref="H229" r:id="rId5" display="https://www.gov.br/previc/pt-br/publicacoes/informe-estatistico-trimestral                               De 1ºtri 2007 a 4ºtri de 2008: Tabela 12; Linha &quot;Despesas&quot;; Coluna &quot;Total Valor (R$)&quot; ou &quot;Total&quot;;_x000a_De 1ºtri a 4ºtri de 2009: Tabela 1.2.4; Linha &quot;Despesas&quot;; coluna &quot;Total&quot;;_x000a_De 1ºtri a 4ºtri de 2010: Tabela 1.2.5; Linha &quot;Despesas&quot;; coluna &quot;Total&quot;;_x000a_De 1º tri a 3º tri de 2011: Gráfico 1.2.12.; Rótulos das barras do gráfico dos respectivos trimestres_x000a_4º tri de 2011: Tabela 1.2.14; Linha &quot;TOTAL DESPESAS ADMINISTRATIVAS&quot;/&quot;Despesas Administrativas&quot;; coluna &quot;Total&quot;;_x000a_De 1º tri de 2012 a 1º tri de 2017: Tabela 1.2.14; Linha &quot;TOTAL DESPESAS ADMINISTRATIVAS&quot;/&quot;Despesas Administrativas&quot;; coluna &quot;Total&quot;;_x000a_De 2º tri de 2017 a 1º tri de 2019: Tabela 1.2.15; Linha &quot;TOTAL DESPESAS ADMINISTRATIVAS&quot;/&quot;Despesas Administrativas&quot;; coluna &quot;Total&quot;;_x000a_De 2º tri de 2019 em diante: Tabela 1.2.14; Linha &quot;Total de despesas administrativas das EFPC&quot;/&quot;Despesas Administrativas&quot;; coluna &quot;Total&quot;." xr:uid="{C2534276-B3F5-43C6-BFB1-C2413592DE8D}"/>
  </hyperlinks>
  <pageMargins left="0.511811024" right="0.511811024" top="0.78740157499999996" bottom="0.78740157499999996" header="0.31496062000000002" footer="0.31496062000000002"/>
  <pageSetup paperSize="9" orientation="portrait" r:id="rId6"/>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topLeftCell="XEL39" workbookViewId="0">
      <selection activeCell="B2" sqref="B2"/>
    </sheetView>
  </sheetViews>
  <sheetFormatPr defaultRowHeight="14.6" x14ac:dyDescent="0.4"/>
  <sheetData>
    <row r="2" spans="1:1" x14ac:dyDescent="0.4">
      <c r="A2" t="s">
        <v>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31"/>
  <sheetViews>
    <sheetView showGridLines="0" workbookViewId="0">
      <pane xSplit="1" ySplit="2" topLeftCell="B9" activePane="bottomRight" state="frozen"/>
      <selection activeCell="B2" sqref="B2"/>
      <selection pane="topRight" activeCell="B2" sqref="B2"/>
      <selection pane="bottomLeft" activeCell="B2" sqref="B2"/>
      <selection pane="bottomRight" activeCell="B2" sqref="B2"/>
    </sheetView>
  </sheetViews>
  <sheetFormatPr defaultColWidth="9.15234375" defaultRowHeight="14.6" x14ac:dyDescent="0.4"/>
  <cols>
    <col min="1" max="1" width="45.23046875" style="12" customWidth="1"/>
    <col min="2" max="2" width="27.53515625" style="12" customWidth="1"/>
    <col min="3" max="4" width="36.84375" style="12" customWidth="1"/>
    <col min="5" max="5" width="18.23046875" customWidth="1"/>
    <col min="6" max="6" width="36.69140625" customWidth="1"/>
    <col min="7" max="7" width="36.84375" style="12" customWidth="1"/>
    <col min="8" max="9" width="66.4609375" style="12" customWidth="1"/>
    <col min="10" max="10" width="19.84375" customWidth="1"/>
    <col min="11" max="11" width="19" customWidth="1"/>
  </cols>
  <sheetData>
    <row r="1" spans="1:11" s="11" customFormat="1" ht="12" x14ac:dyDescent="0.35">
      <c r="A1" s="14" t="s">
        <v>3</v>
      </c>
      <c r="B1" s="300" t="s">
        <v>20</v>
      </c>
      <c r="C1" s="302" t="s">
        <v>0</v>
      </c>
      <c r="D1" s="300" t="s">
        <v>1</v>
      </c>
      <c r="E1" s="300" t="s">
        <v>2</v>
      </c>
      <c r="F1" s="300"/>
      <c r="G1" s="300"/>
      <c r="H1" s="300"/>
      <c r="I1" s="302" t="s">
        <v>106</v>
      </c>
      <c r="J1" s="300" t="s">
        <v>62</v>
      </c>
      <c r="K1" s="298" t="s">
        <v>66</v>
      </c>
    </row>
    <row r="2" spans="1:11" s="11" customFormat="1" ht="12" x14ac:dyDescent="0.35">
      <c r="A2" s="10" t="s">
        <v>39</v>
      </c>
      <c r="B2" s="301"/>
      <c r="C2" s="298"/>
      <c r="D2" s="301"/>
      <c r="E2" s="10" t="s">
        <v>400</v>
      </c>
      <c r="F2" s="10" t="s">
        <v>404</v>
      </c>
      <c r="G2" s="10" t="s">
        <v>6</v>
      </c>
      <c r="H2" s="13" t="s">
        <v>7</v>
      </c>
      <c r="I2" s="298"/>
      <c r="J2" s="301"/>
      <c r="K2" s="299"/>
    </row>
    <row r="3" spans="1:11" s="11" customFormat="1" ht="60" hidden="1" x14ac:dyDescent="0.35">
      <c r="A3" s="6" t="s">
        <v>453</v>
      </c>
      <c r="B3" s="8" t="s">
        <v>131</v>
      </c>
      <c r="C3" s="9" t="s">
        <v>457</v>
      </c>
      <c r="D3" s="9"/>
      <c r="E3" s="3" t="s">
        <v>35</v>
      </c>
      <c r="F3" s="3">
        <v>9</v>
      </c>
      <c r="G3" s="5"/>
      <c r="H3" s="9" t="s">
        <v>458</v>
      </c>
      <c r="I3" s="9" t="s">
        <v>324</v>
      </c>
    </row>
    <row r="4" spans="1:11" s="11" customFormat="1" ht="60" hidden="1" x14ac:dyDescent="0.35">
      <c r="A4" s="6" t="s">
        <v>452</v>
      </c>
      <c r="B4" s="8" t="s">
        <v>131</v>
      </c>
      <c r="C4" s="9" t="s">
        <v>457</v>
      </c>
      <c r="D4" s="9"/>
      <c r="E4" s="3" t="s">
        <v>35</v>
      </c>
      <c r="F4" s="3">
        <v>9</v>
      </c>
      <c r="G4" s="5"/>
      <c r="H4" s="9" t="s">
        <v>459</v>
      </c>
      <c r="I4" s="9" t="s">
        <v>324</v>
      </c>
    </row>
    <row r="5" spans="1:11" s="11" customFormat="1" ht="60" hidden="1" x14ac:dyDescent="0.35">
      <c r="A5" s="6" t="s">
        <v>454</v>
      </c>
      <c r="B5" s="8" t="s">
        <v>131</v>
      </c>
      <c r="C5" s="9" t="s">
        <v>457</v>
      </c>
      <c r="D5" s="9"/>
      <c r="E5" s="3" t="s">
        <v>35</v>
      </c>
      <c r="F5" s="3">
        <v>9</v>
      </c>
      <c r="G5" s="5"/>
      <c r="H5" s="9" t="s">
        <v>460</v>
      </c>
      <c r="I5" s="9" t="s">
        <v>324</v>
      </c>
    </row>
    <row r="6" spans="1:11" s="11" customFormat="1" ht="60" hidden="1" x14ac:dyDescent="0.35">
      <c r="A6" s="6" t="s">
        <v>455</v>
      </c>
      <c r="B6" s="8" t="s">
        <v>131</v>
      </c>
      <c r="C6" s="9" t="s">
        <v>457</v>
      </c>
      <c r="D6" s="9"/>
      <c r="E6" s="3" t="s">
        <v>35</v>
      </c>
      <c r="F6" s="3">
        <v>9</v>
      </c>
      <c r="G6" s="5"/>
      <c r="H6" s="9" t="s">
        <v>461</v>
      </c>
      <c r="I6" s="9" t="s">
        <v>324</v>
      </c>
    </row>
    <row r="7" spans="1:11" s="11" customFormat="1" ht="60" hidden="1" x14ac:dyDescent="0.35">
      <c r="A7" s="6" t="s">
        <v>456</v>
      </c>
      <c r="B7" s="8" t="s">
        <v>131</v>
      </c>
      <c r="C7" s="9" t="s">
        <v>457</v>
      </c>
      <c r="D7" s="9"/>
      <c r="E7" s="3" t="s">
        <v>35</v>
      </c>
      <c r="F7" s="3">
        <v>9</v>
      </c>
      <c r="G7" s="5"/>
      <c r="H7" s="9" t="s">
        <v>462</v>
      </c>
      <c r="I7" s="9" t="s">
        <v>324</v>
      </c>
    </row>
    <row r="8" spans="1:11" ht="24" hidden="1" x14ac:dyDescent="0.4">
      <c r="A8" s="2" t="s">
        <v>260</v>
      </c>
      <c r="B8" s="3" t="s">
        <v>130</v>
      </c>
      <c r="C8" s="9" t="s">
        <v>266</v>
      </c>
      <c r="D8" s="4"/>
      <c r="E8" s="3" t="s">
        <v>405</v>
      </c>
      <c r="F8" s="3"/>
      <c r="G8" s="3" t="s">
        <v>287</v>
      </c>
      <c r="H8" s="9"/>
    </row>
    <row r="9" spans="1:11" ht="24" x14ac:dyDescent="0.4">
      <c r="A9" s="2" t="s">
        <v>312</v>
      </c>
      <c r="B9" s="1" t="s">
        <v>308</v>
      </c>
      <c r="C9" s="9" t="s">
        <v>294</v>
      </c>
      <c r="D9" s="4"/>
      <c r="E9" s="3" t="s">
        <v>405</v>
      </c>
      <c r="F9" s="3"/>
      <c r="G9" s="3" t="s">
        <v>287</v>
      </c>
      <c r="H9" s="9"/>
    </row>
    <row r="10" spans="1:11" hidden="1" x14ac:dyDescent="0.4">
      <c r="A10" s="2" t="s">
        <v>317</v>
      </c>
      <c r="B10" s="1" t="s">
        <v>308</v>
      </c>
      <c r="C10" s="9" t="s">
        <v>298</v>
      </c>
      <c r="D10" s="4"/>
      <c r="E10" s="3" t="s">
        <v>402</v>
      </c>
      <c r="F10" s="3">
        <v>7</v>
      </c>
      <c r="G10" s="3" t="s">
        <v>306</v>
      </c>
      <c r="H10" s="9"/>
    </row>
    <row r="11" spans="1:11" ht="75" hidden="1" customHeight="1" x14ac:dyDescent="0.4">
      <c r="A11" s="15" t="s">
        <v>466</v>
      </c>
      <c r="B11" s="297" t="s">
        <v>467</v>
      </c>
      <c r="C11" s="297"/>
      <c r="D11" s="297"/>
      <c r="E11" s="297"/>
      <c r="F11" s="297"/>
      <c r="G11" s="297"/>
      <c r="H11" s="297"/>
      <c r="I11" s="297"/>
    </row>
    <row r="12" spans="1:11" ht="48.45" hidden="1" thickBot="1" x14ac:dyDescent="0.45">
      <c r="A12" s="73" t="s">
        <v>580</v>
      </c>
      <c r="B12" s="74" t="s">
        <v>130</v>
      </c>
      <c r="C12" s="75" t="s">
        <v>581</v>
      </c>
      <c r="D12" s="76"/>
      <c r="E12" s="77" t="s">
        <v>405</v>
      </c>
      <c r="F12" s="190"/>
      <c r="G12" s="79" t="s">
        <v>451</v>
      </c>
      <c r="H12" s="75" t="s">
        <v>582</v>
      </c>
      <c r="I12" s="75" t="s">
        <v>583</v>
      </c>
      <c r="J12" s="188"/>
      <c r="K12" s="202" t="s">
        <v>584</v>
      </c>
    </row>
    <row r="14" spans="1:11" ht="48" x14ac:dyDescent="0.4">
      <c r="A14" s="6" t="s">
        <v>471</v>
      </c>
      <c r="B14" s="8" t="s">
        <v>308</v>
      </c>
      <c r="C14" s="9" t="s">
        <v>472</v>
      </c>
      <c r="D14" s="9"/>
      <c r="E14" s="5" t="s">
        <v>405</v>
      </c>
      <c r="F14" s="5"/>
      <c r="G14" s="5" t="s">
        <v>451</v>
      </c>
      <c r="H14" s="9" t="s">
        <v>473</v>
      </c>
      <c r="I14" s="7" t="s">
        <v>345</v>
      </c>
    </row>
    <row r="15" spans="1:11" ht="87" customHeight="1" x14ac:dyDescent="0.4">
      <c r="A15" s="6" t="s">
        <v>475</v>
      </c>
      <c r="B15" s="8" t="s">
        <v>23</v>
      </c>
      <c r="C15" s="9"/>
      <c r="D15" s="9"/>
      <c r="E15" s="5" t="s">
        <v>23</v>
      </c>
      <c r="F15" s="5"/>
      <c r="G15" s="5" t="s">
        <v>15</v>
      </c>
      <c r="H15" s="9" t="s">
        <v>474</v>
      </c>
      <c r="I15" s="9" t="s">
        <v>108</v>
      </c>
    </row>
    <row r="16" spans="1:11" x14ac:dyDescent="0.4">
      <c r="A16" s="6" t="s">
        <v>551</v>
      </c>
      <c r="B16" s="8" t="s">
        <v>23</v>
      </c>
      <c r="C16" s="9"/>
      <c r="D16" s="9"/>
      <c r="E16" s="5" t="s">
        <v>23</v>
      </c>
      <c r="F16" s="5"/>
      <c r="G16" s="5" t="s">
        <v>15</v>
      </c>
      <c r="H16" s="9" t="s">
        <v>566</v>
      </c>
      <c r="I16" s="9" t="s">
        <v>565</v>
      </c>
    </row>
    <row r="17" spans="1:9" x14ac:dyDescent="0.4">
      <c r="A17" s="6" t="s">
        <v>552</v>
      </c>
      <c r="B17" s="8" t="s">
        <v>23</v>
      </c>
      <c r="C17" s="9"/>
      <c r="D17" s="9"/>
      <c r="E17" s="5" t="s">
        <v>23</v>
      </c>
      <c r="F17" s="5"/>
      <c r="G17" s="5" t="s">
        <v>15</v>
      </c>
      <c r="H17" s="9" t="s">
        <v>567</v>
      </c>
      <c r="I17" s="9" t="s">
        <v>565</v>
      </c>
    </row>
    <row r="18" spans="1:9" x14ac:dyDescent="0.4">
      <c r="A18" s="6" t="s">
        <v>553</v>
      </c>
      <c r="B18" s="8" t="s">
        <v>23</v>
      </c>
      <c r="C18" s="9"/>
      <c r="D18" s="9"/>
      <c r="E18" s="5" t="s">
        <v>23</v>
      </c>
      <c r="F18" s="5"/>
      <c r="G18" s="5" t="s">
        <v>15</v>
      </c>
      <c r="H18" s="9" t="s">
        <v>568</v>
      </c>
      <c r="I18" s="9" t="s">
        <v>565</v>
      </c>
    </row>
    <row r="19" spans="1:9" x14ac:dyDescent="0.4">
      <c r="A19" s="6" t="s">
        <v>554</v>
      </c>
      <c r="B19" s="8" t="s">
        <v>23</v>
      </c>
      <c r="C19" s="9"/>
      <c r="D19" s="9"/>
      <c r="E19" s="5" t="s">
        <v>23</v>
      </c>
      <c r="F19" s="5"/>
      <c r="G19" s="5" t="s">
        <v>15</v>
      </c>
      <c r="H19" s="9" t="s">
        <v>569</v>
      </c>
      <c r="I19" s="9" t="s">
        <v>565</v>
      </c>
    </row>
    <row r="20" spans="1:9" x14ac:dyDescent="0.4">
      <c r="A20" s="6" t="s">
        <v>555</v>
      </c>
      <c r="B20" s="8" t="s">
        <v>23</v>
      </c>
      <c r="C20" s="9"/>
      <c r="D20" s="9"/>
      <c r="E20" s="5" t="s">
        <v>23</v>
      </c>
      <c r="F20" s="5"/>
      <c r="G20" s="5" t="s">
        <v>15</v>
      </c>
      <c r="H20" s="9" t="s">
        <v>570</v>
      </c>
      <c r="I20" s="9" t="s">
        <v>565</v>
      </c>
    </row>
    <row r="21" spans="1:9" x14ac:dyDescent="0.4">
      <c r="A21" s="6" t="s">
        <v>556</v>
      </c>
      <c r="B21" s="8" t="s">
        <v>23</v>
      </c>
      <c r="C21" s="9"/>
      <c r="D21" s="9"/>
      <c r="E21" s="5" t="s">
        <v>23</v>
      </c>
      <c r="F21" s="5"/>
      <c r="G21" s="5" t="s">
        <v>15</v>
      </c>
      <c r="H21" s="9" t="s">
        <v>571</v>
      </c>
      <c r="I21" s="9" t="s">
        <v>565</v>
      </c>
    </row>
    <row r="22" spans="1:9" x14ac:dyDescent="0.4">
      <c r="A22" s="6" t="s">
        <v>557</v>
      </c>
      <c r="B22" s="8" t="s">
        <v>23</v>
      </c>
      <c r="C22" s="9"/>
      <c r="D22" s="9"/>
      <c r="E22" s="5" t="s">
        <v>23</v>
      </c>
      <c r="F22" s="5"/>
      <c r="G22" s="5" t="s">
        <v>15</v>
      </c>
      <c r="H22" s="9" t="s">
        <v>572</v>
      </c>
      <c r="I22" s="9" t="s">
        <v>565</v>
      </c>
    </row>
    <row r="23" spans="1:9" x14ac:dyDescent="0.4">
      <c r="A23" s="6" t="s">
        <v>558</v>
      </c>
      <c r="B23" s="8" t="s">
        <v>23</v>
      </c>
      <c r="C23" s="9"/>
      <c r="D23" s="9"/>
      <c r="E23" s="5" t="s">
        <v>23</v>
      </c>
      <c r="F23" s="5"/>
      <c r="G23" s="5" t="s">
        <v>15</v>
      </c>
      <c r="H23" s="9" t="s">
        <v>573</v>
      </c>
      <c r="I23" s="9" t="s">
        <v>565</v>
      </c>
    </row>
    <row r="24" spans="1:9" x14ac:dyDescent="0.4">
      <c r="A24" s="6" t="s">
        <v>559</v>
      </c>
      <c r="B24" s="8" t="s">
        <v>23</v>
      </c>
      <c r="C24" s="9"/>
      <c r="D24" s="9"/>
      <c r="E24" s="5" t="s">
        <v>23</v>
      </c>
      <c r="F24" s="5"/>
      <c r="G24" s="5" t="s">
        <v>15</v>
      </c>
      <c r="H24" s="9" t="s">
        <v>574</v>
      </c>
      <c r="I24" s="9" t="s">
        <v>565</v>
      </c>
    </row>
    <row r="25" spans="1:9" x14ac:dyDescent="0.4">
      <c r="A25" s="6" t="s">
        <v>560</v>
      </c>
      <c r="B25" s="8" t="s">
        <v>23</v>
      </c>
      <c r="C25" s="9"/>
      <c r="D25" s="9"/>
      <c r="E25" s="5" t="s">
        <v>23</v>
      </c>
      <c r="F25" s="5"/>
      <c r="G25" s="5" t="s">
        <v>15</v>
      </c>
      <c r="H25" s="9" t="s">
        <v>575</v>
      </c>
      <c r="I25" s="9" t="s">
        <v>565</v>
      </c>
    </row>
    <row r="26" spans="1:9" x14ac:dyDescent="0.4">
      <c r="A26" s="6" t="s">
        <v>561</v>
      </c>
      <c r="B26" s="8" t="s">
        <v>23</v>
      </c>
      <c r="C26" s="9"/>
      <c r="D26" s="9"/>
      <c r="E26" s="5" t="s">
        <v>23</v>
      </c>
      <c r="F26" s="5"/>
      <c r="G26" s="5" t="s">
        <v>15</v>
      </c>
      <c r="H26" s="9" t="s">
        <v>576</v>
      </c>
      <c r="I26" s="9" t="s">
        <v>565</v>
      </c>
    </row>
    <row r="27" spans="1:9" x14ac:dyDescent="0.4">
      <c r="A27" s="6" t="s">
        <v>562</v>
      </c>
      <c r="B27" s="8" t="s">
        <v>23</v>
      </c>
      <c r="C27" s="9"/>
      <c r="D27" s="9"/>
      <c r="E27" s="5" t="s">
        <v>23</v>
      </c>
      <c r="F27" s="5"/>
      <c r="G27" s="5" t="s">
        <v>15</v>
      </c>
      <c r="H27" s="9" t="s">
        <v>577</v>
      </c>
      <c r="I27" s="9" t="s">
        <v>565</v>
      </c>
    </row>
    <row r="28" spans="1:9" x14ac:dyDescent="0.4">
      <c r="A28" s="6" t="s">
        <v>563</v>
      </c>
      <c r="B28" s="8" t="s">
        <v>23</v>
      </c>
      <c r="C28" s="9"/>
      <c r="D28" s="9"/>
      <c r="E28" s="5" t="s">
        <v>23</v>
      </c>
      <c r="F28" s="5"/>
      <c r="G28" s="5" t="s">
        <v>15</v>
      </c>
      <c r="H28" s="9" t="s">
        <v>578</v>
      </c>
      <c r="I28" s="9" t="s">
        <v>565</v>
      </c>
    </row>
    <row r="29" spans="1:9" x14ac:dyDescent="0.4">
      <c r="A29" s="6" t="s">
        <v>564</v>
      </c>
      <c r="B29" s="8" t="s">
        <v>23</v>
      </c>
      <c r="C29" s="9"/>
      <c r="D29" s="9"/>
      <c r="E29" s="5" t="s">
        <v>23</v>
      </c>
      <c r="F29" s="5"/>
      <c r="G29" s="5" t="s">
        <v>15</v>
      </c>
      <c r="H29" s="9" t="s">
        <v>579</v>
      </c>
      <c r="I29" s="9" t="s">
        <v>565</v>
      </c>
    </row>
    <row r="30" spans="1:9" ht="36" x14ac:dyDescent="0.4">
      <c r="A30" s="6" t="s">
        <v>615</v>
      </c>
      <c r="B30" s="8" t="s">
        <v>23</v>
      </c>
      <c r="C30" s="9" t="s">
        <v>612</v>
      </c>
      <c r="D30" s="9"/>
      <c r="E30" s="5" t="s">
        <v>23</v>
      </c>
      <c r="F30" s="5"/>
      <c r="G30" s="5" t="s">
        <v>613</v>
      </c>
      <c r="H30" s="9" t="s">
        <v>614</v>
      </c>
      <c r="I30" s="9"/>
    </row>
    <row r="31" spans="1:9" x14ac:dyDescent="0.4">
      <c r="A31" s="7"/>
      <c r="B31" s="288"/>
      <c r="C31" s="7"/>
      <c r="D31" s="7"/>
      <c r="E31" s="289"/>
      <c r="F31" s="289"/>
      <c r="G31" s="289"/>
      <c r="H31" s="7"/>
      <c r="I31" s="7"/>
    </row>
  </sheetData>
  <autoFilter ref="A2:K12" xr:uid="{00000000-0009-0000-0000-000002000000}">
    <filterColumn colId="0">
      <filters>
        <filter val="Vendas reais de móveis e eletrodomésticos"/>
      </filters>
    </filterColumn>
  </autoFilter>
  <mergeCells count="8">
    <mergeCell ref="B11:I11"/>
    <mergeCell ref="K1:K2"/>
    <mergeCell ref="B1:B2"/>
    <mergeCell ref="C1:C2"/>
    <mergeCell ref="D1:D2"/>
    <mergeCell ref="E1:H1"/>
    <mergeCell ref="I1:I2"/>
    <mergeCell ref="J1:J2"/>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C438"/>
  <sheetViews>
    <sheetView workbookViewId="0">
      <selection activeCell="B2" sqref="B2"/>
    </sheetView>
  </sheetViews>
  <sheetFormatPr defaultRowHeight="14.6" x14ac:dyDescent="0.4"/>
  <cols>
    <col min="1" max="1" width="31.4609375" bestFit="1" customWidth="1"/>
    <col min="2" max="2" width="47.84375" bestFit="1" customWidth="1"/>
    <col min="3" max="3" width="7.4609375" bestFit="1" customWidth="1"/>
  </cols>
  <sheetData>
    <row r="1" spans="1:3" x14ac:dyDescent="0.4">
      <c r="A1" s="274" t="s">
        <v>640</v>
      </c>
      <c r="B1" s="274" t="s">
        <v>641</v>
      </c>
      <c r="C1" s="275" t="s">
        <v>642</v>
      </c>
    </row>
    <row r="2" spans="1:3" hidden="1" x14ac:dyDescent="0.4">
      <c r="A2" s="276" t="s">
        <v>643</v>
      </c>
      <c r="B2" s="277" t="s">
        <v>644</v>
      </c>
      <c r="C2" s="276" t="s">
        <v>645</v>
      </c>
    </row>
    <row r="3" spans="1:3" hidden="1" x14ac:dyDescent="0.4">
      <c r="A3" s="276" t="s">
        <v>643</v>
      </c>
      <c r="B3" s="277" t="s">
        <v>646</v>
      </c>
      <c r="C3" s="276"/>
    </row>
    <row r="4" spans="1:3" hidden="1" x14ac:dyDescent="0.4">
      <c r="A4" s="276" t="s">
        <v>643</v>
      </c>
      <c r="B4" s="277" t="s">
        <v>647</v>
      </c>
      <c r="C4" s="276"/>
    </row>
    <row r="5" spans="1:3" hidden="1" x14ac:dyDescent="0.4">
      <c r="A5" s="276" t="s">
        <v>643</v>
      </c>
      <c r="B5" s="277" t="s">
        <v>648</v>
      </c>
      <c r="C5" s="276"/>
    </row>
    <row r="6" spans="1:3" hidden="1" x14ac:dyDescent="0.4">
      <c r="A6" s="276" t="s">
        <v>643</v>
      </c>
      <c r="B6" s="277" t="s">
        <v>649</v>
      </c>
      <c r="C6" s="276"/>
    </row>
    <row r="7" spans="1:3" hidden="1" x14ac:dyDescent="0.4">
      <c r="A7" s="276" t="s">
        <v>643</v>
      </c>
      <c r="B7" s="277" t="s">
        <v>650</v>
      </c>
      <c r="C7" s="276"/>
    </row>
    <row r="8" spans="1:3" hidden="1" x14ac:dyDescent="0.4">
      <c r="A8" s="276" t="s">
        <v>643</v>
      </c>
      <c r="B8" s="277" t="s">
        <v>651</v>
      </c>
      <c r="C8" s="276"/>
    </row>
    <row r="9" spans="1:3" hidden="1" x14ac:dyDescent="0.4">
      <c r="A9" s="276" t="s">
        <v>643</v>
      </c>
      <c r="B9" s="277" t="s">
        <v>652</v>
      </c>
      <c r="C9" s="276"/>
    </row>
    <row r="10" spans="1:3" hidden="1" x14ac:dyDescent="0.4">
      <c r="A10" s="276" t="s">
        <v>643</v>
      </c>
      <c r="B10" s="277" t="s">
        <v>653</v>
      </c>
      <c r="C10" s="276"/>
    </row>
    <row r="11" spans="1:3" hidden="1" x14ac:dyDescent="0.4">
      <c r="A11" s="276" t="s">
        <v>643</v>
      </c>
      <c r="B11" s="277" t="s">
        <v>654</v>
      </c>
      <c r="C11" s="276"/>
    </row>
    <row r="12" spans="1:3" hidden="1" x14ac:dyDescent="0.4">
      <c r="A12" s="276" t="s">
        <v>643</v>
      </c>
      <c r="B12" s="277" t="s">
        <v>655</v>
      </c>
      <c r="C12" s="276"/>
    </row>
    <row r="13" spans="1:3" hidden="1" x14ac:dyDescent="0.4">
      <c r="A13" s="276" t="s">
        <v>656</v>
      </c>
      <c r="B13" s="277" t="s">
        <v>644</v>
      </c>
      <c r="C13" s="276" t="s">
        <v>657</v>
      </c>
    </row>
    <row r="14" spans="1:3" hidden="1" x14ac:dyDescent="0.4">
      <c r="A14" s="276" t="s">
        <v>656</v>
      </c>
      <c r="B14" s="277" t="s">
        <v>646</v>
      </c>
      <c r="C14" s="276"/>
    </row>
    <row r="15" spans="1:3" hidden="1" x14ac:dyDescent="0.4">
      <c r="A15" s="276" t="s">
        <v>656</v>
      </c>
      <c r="B15" s="277" t="s">
        <v>658</v>
      </c>
      <c r="C15" s="276"/>
    </row>
    <row r="16" spans="1:3" hidden="1" x14ac:dyDescent="0.4">
      <c r="A16" s="276" t="s">
        <v>656</v>
      </c>
      <c r="B16" s="277" t="s">
        <v>659</v>
      </c>
      <c r="C16" s="276"/>
    </row>
    <row r="17" spans="1:3" hidden="1" x14ac:dyDescent="0.4">
      <c r="A17" s="276" t="s">
        <v>656</v>
      </c>
      <c r="B17" s="277" t="s">
        <v>653</v>
      </c>
      <c r="C17" s="276"/>
    </row>
    <row r="18" spans="1:3" hidden="1" x14ac:dyDescent="0.4">
      <c r="A18" s="276" t="s">
        <v>656</v>
      </c>
      <c r="B18" s="277" t="s">
        <v>660</v>
      </c>
      <c r="C18" s="276"/>
    </row>
    <row r="19" spans="1:3" hidden="1" x14ac:dyDescent="0.4">
      <c r="A19" s="276" t="s">
        <v>656</v>
      </c>
      <c r="B19" s="277" t="s">
        <v>661</v>
      </c>
      <c r="C19" s="276"/>
    </row>
    <row r="20" spans="1:3" hidden="1" x14ac:dyDescent="0.4">
      <c r="A20" s="276" t="s">
        <v>656</v>
      </c>
      <c r="B20" s="277" t="s">
        <v>662</v>
      </c>
      <c r="C20" s="276"/>
    </row>
    <row r="21" spans="1:3" hidden="1" x14ac:dyDescent="0.4">
      <c r="A21" s="276" t="s">
        <v>663</v>
      </c>
      <c r="B21" s="277" t="s">
        <v>664</v>
      </c>
      <c r="C21" s="276" t="s">
        <v>657</v>
      </c>
    </row>
    <row r="22" spans="1:3" hidden="1" x14ac:dyDescent="0.4">
      <c r="A22" s="276" t="s">
        <v>663</v>
      </c>
      <c r="B22" s="277" t="s">
        <v>665</v>
      </c>
      <c r="C22" s="276"/>
    </row>
    <row r="23" spans="1:3" hidden="1" x14ac:dyDescent="0.4">
      <c r="A23" s="276" t="s">
        <v>663</v>
      </c>
      <c r="B23" s="277" t="s">
        <v>666</v>
      </c>
      <c r="C23" s="276"/>
    </row>
    <row r="24" spans="1:3" hidden="1" x14ac:dyDescent="0.4">
      <c r="A24" s="276" t="s">
        <v>663</v>
      </c>
      <c r="B24" s="277" t="s">
        <v>667</v>
      </c>
      <c r="C24" s="276"/>
    </row>
    <row r="25" spans="1:3" hidden="1" x14ac:dyDescent="0.4">
      <c r="A25" s="276" t="s">
        <v>663</v>
      </c>
      <c r="B25" s="277" t="s">
        <v>668</v>
      </c>
      <c r="C25" s="276"/>
    </row>
    <row r="26" spans="1:3" hidden="1" x14ac:dyDescent="0.4">
      <c r="A26" s="276" t="s">
        <v>669</v>
      </c>
      <c r="B26" s="277" t="s">
        <v>646</v>
      </c>
      <c r="C26" s="276" t="s">
        <v>657</v>
      </c>
    </row>
    <row r="27" spans="1:3" hidden="1" x14ac:dyDescent="0.4">
      <c r="A27" s="276" t="s">
        <v>669</v>
      </c>
      <c r="B27" s="277" t="s">
        <v>670</v>
      </c>
      <c r="C27" s="276"/>
    </row>
    <row r="28" spans="1:3" hidden="1" x14ac:dyDescent="0.4">
      <c r="A28" s="276" t="s">
        <v>669</v>
      </c>
      <c r="B28" s="277" t="s">
        <v>671</v>
      </c>
      <c r="C28" s="276"/>
    </row>
    <row r="29" spans="1:3" hidden="1" x14ac:dyDescent="0.4">
      <c r="A29" s="276" t="s">
        <v>669</v>
      </c>
      <c r="B29" s="277" t="s">
        <v>672</v>
      </c>
      <c r="C29" s="276"/>
    </row>
    <row r="30" spans="1:3" x14ac:dyDescent="0.4">
      <c r="A30" s="276" t="s">
        <v>673</v>
      </c>
      <c r="B30" s="277" t="s">
        <v>644</v>
      </c>
      <c r="C30" s="276" t="s">
        <v>657</v>
      </c>
    </row>
    <row r="31" spans="1:3" x14ac:dyDescent="0.4">
      <c r="A31" s="276" t="s">
        <v>673</v>
      </c>
      <c r="B31" s="277" t="s">
        <v>646</v>
      </c>
      <c r="C31" s="276"/>
    </row>
    <row r="32" spans="1:3" x14ac:dyDescent="0.4">
      <c r="A32" s="276" t="s">
        <v>673</v>
      </c>
      <c r="B32" s="277" t="s">
        <v>658</v>
      </c>
      <c r="C32" s="276"/>
    </row>
    <row r="33" spans="1:3" x14ac:dyDescent="0.4">
      <c r="A33" s="276" t="s">
        <v>673</v>
      </c>
      <c r="B33" s="277" t="s">
        <v>660</v>
      </c>
      <c r="C33" s="276"/>
    </row>
    <row r="34" spans="1:3" x14ac:dyDescent="0.4">
      <c r="A34" s="276" t="s">
        <v>673</v>
      </c>
      <c r="B34" s="277" t="s">
        <v>661</v>
      </c>
      <c r="C34" s="276"/>
    </row>
    <row r="35" spans="1:3" x14ac:dyDescent="0.4">
      <c r="A35" s="276" t="s">
        <v>673</v>
      </c>
      <c r="B35" s="277" t="s">
        <v>662</v>
      </c>
      <c r="C35" s="276"/>
    </row>
    <row r="36" spans="1:3" hidden="1" x14ac:dyDescent="0.4">
      <c r="A36" s="276" t="s">
        <v>674</v>
      </c>
      <c r="B36" s="277" t="s">
        <v>675</v>
      </c>
      <c r="C36" s="276" t="s">
        <v>657</v>
      </c>
    </row>
    <row r="37" spans="1:3" hidden="1" x14ac:dyDescent="0.4">
      <c r="A37" s="276" t="s">
        <v>674</v>
      </c>
      <c r="B37" s="278" t="s">
        <v>676</v>
      </c>
      <c r="C37" s="276"/>
    </row>
    <row r="38" spans="1:3" hidden="1" x14ac:dyDescent="0.4">
      <c r="A38" s="276" t="s">
        <v>674</v>
      </c>
      <c r="B38" s="277" t="s">
        <v>677</v>
      </c>
      <c r="C38" s="276"/>
    </row>
    <row r="39" spans="1:3" hidden="1" x14ac:dyDescent="0.4">
      <c r="A39" s="276" t="s">
        <v>674</v>
      </c>
      <c r="B39" s="278" t="s">
        <v>678</v>
      </c>
      <c r="C39" s="276"/>
    </row>
    <row r="40" spans="1:3" hidden="1" x14ac:dyDescent="0.4">
      <c r="A40" s="276" t="s">
        <v>674</v>
      </c>
      <c r="B40" s="277" t="s">
        <v>679</v>
      </c>
      <c r="C40" s="276"/>
    </row>
    <row r="41" spans="1:3" hidden="1" x14ac:dyDescent="0.4">
      <c r="A41" s="276" t="s">
        <v>674</v>
      </c>
      <c r="B41" s="278" t="s">
        <v>680</v>
      </c>
      <c r="C41" s="276"/>
    </row>
    <row r="42" spans="1:3" hidden="1" x14ac:dyDescent="0.4">
      <c r="A42" s="276" t="s">
        <v>681</v>
      </c>
      <c r="B42" s="277" t="s">
        <v>682</v>
      </c>
      <c r="C42" s="276" t="s">
        <v>645</v>
      </c>
    </row>
    <row r="43" spans="1:3" hidden="1" x14ac:dyDescent="0.4">
      <c r="A43" s="276" t="s">
        <v>681</v>
      </c>
      <c r="B43" s="277" t="s">
        <v>683</v>
      </c>
      <c r="C43" s="276"/>
    </row>
    <row r="44" spans="1:3" hidden="1" x14ac:dyDescent="0.4">
      <c r="A44" s="276" t="s">
        <v>681</v>
      </c>
      <c r="B44" s="277" t="s">
        <v>648</v>
      </c>
      <c r="C44" s="276"/>
    </row>
    <row r="45" spans="1:3" hidden="1" x14ac:dyDescent="0.4">
      <c r="A45" s="276" t="s">
        <v>681</v>
      </c>
      <c r="B45" s="277" t="s">
        <v>684</v>
      </c>
      <c r="C45" s="276"/>
    </row>
    <row r="46" spans="1:3" hidden="1" x14ac:dyDescent="0.4">
      <c r="A46" s="276" t="s">
        <v>681</v>
      </c>
      <c r="B46" s="277" t="s">
        <v>685</v>
      </c>
      <c r="C46" s="276"/>
    </row>
    <row r="47" spans="1:3" hidden="1" x14ac:dyDescent="0.4">
      <c r="A47" s="276" t="s">
        <v>681</v>
      </c>
      <c r="B47" s="277" t="s">
        <v>686</v>
      </c>
      <c r="C47" s="276"/>
    </row>
    <row r="48" spans="1:3" hidden="1" x14ac:dyDescent="0.4">
      <c r="A48" s="276" t="s">
        <v>681</v>
      </c>
      <c r="B48" s="277" t="s">
        <v>687</v>
      </c>
      <c r="C48" s="276"/>
    </row>
    <row r="49" spans="1:3" hidden="1" x14ac:dyDescent="0.4">
      <c r="A49" s="276" t="s">
        <v>681</v>
      </c>
      <c r="B49" s="277" t="s">
        <v>688</v>
      </c>
      <c r="C49" s="276"/>
    </row>
    <row r="50" spans="1:3" hidden="1" x14ac:dyDescent="0.4">
      <c r="A50" s="276" t="s">
        <v>681</v>
      </c>
      <c r="B50" s="277" t="s">
        <v>689</v>
      </c>
      <c r="C50" s="276"/>
    </row>
    <row r="51" spans="1:3" hidden="1" x14ac:dyDescent="0.4">
      <c r="A51" s="276" t="s">
        <v>690</v>
      </c>
      <c r="B51" s="277" t="s">
        <v>644</v>
      </c>
      <c r="C51" s="276" t="s">
        <v>657</v>
      </c>
    </row>
    <row r="52" spans="1:3" hidden="1" x14ac:dyDescent="0.4">
      <c r="A52" s="276" t="s">
        <v>690</v>
      </c>
      <c r="B52" s="277" t="s">
        <v>646</v>
      </c>
      <c r="C52" s="276"/>
    </row>
    <row r="53" spans="1:3" hidden="1" x14ac:dyDescent="0.4">
      <c r="A53" s="276" t="s">
        <v>690</v>
      </c>
      <c r="B53" s="277" t="s">
        <v>691</v>
      </c>
      <c r="C53" s="276"/>
    </row>
    <row r="54" spans="1:3" hidden="1" x14ac:dyDescent="0.4">
      <c r="A54" s="276" t="s">
        <v>690</v>
      </c>
      <c r="B54" s="277" t="s">
        <v>653</v>
      </c>
      <c r="C54" s="276"/>
    </row>
    <row r="55" spans="1:3" hidden="1" x14ac:dyDescent="0.4">
      <c r="A55" s="276" t="s">
        <v>690</v>
      </c>
      <c r="B55" s="277" t="s">
        <v>692</v>
      </c>
      <c r="C55" s="276"/>
    </row>
    <row r="56" spans="1:3" hidden="1" x14ac:dyDescent="0.4">
      <c r="A56" s="276" t="s">
        <v>690</v>
      </c>
      <c r="B56" s="277" t="s">
        <v>655</v>
      </c>
      <c r="C56" s="276"/>
    </row>
    <row r="57" spans="1:3" hidden="1" x14ac:dyDescent="0.4">
      <c r="A57" s="276" t="s">
        <v>690</v>
      </c>
      <c r="B57" s="277" t="s">
        <v>693</v>
      </c>
      <c r="C57" s="276"/>
    </row>
    <row r="58" spans="1:3" hidden="1" x14ac:dyDescent="0.4">
      <c r="A58" s="276" t="s">
        <v>690</v>
      </c>
      <c r="B58" s="277" t="s">
        <v>694</v>
      </c>
      <c r="C58" s="276"/>
    </row>
    <row r="59" spans="1:3" hidden="1" x14ac:dyDescent="0.4">
      <c r="A59" s="276" t="s">
        <v>690</v>
      </c>
      <c r="B59" s="277" t="s">
        <v>695</v>
      </c>
      <c r="C59" s="276"/>
    </row>
    <row r="60" spans="1:3" hidden="1" x14ac:dyDescent="0.4">
      <c r="A60" s="276" t="s">
        <v>690</v>
      </c>
      <c r="B60" s="277" t="s">
        <v>696</v>
      </c>
      <c r="C60" s="276"/>
    </row>
    <row r="61" spans="1:3" hidden="1" x14ac:dyDescent="0.4">
      <c r="A61" s="276" t="s">
        <v>697</v>
      </c>
      <c r="B61" s="277" t="s">
        <v>698</v>
      </c>
      <c r="C61" s="276" t="s">
        <v>657</v>
      </c>
    </row>
    <row r="62" spans="1:3" hidden="1" x14ac:dyDescent="0.4">
      <c r="A62" s="276" t="s">
        <v>697</v>
      </c>
      <c r="B62" s="277" t="s">
        <v>699</v>
      </c>
      <c r="C62" s="276"/>
    </row>
    <row r="63" spans="1:3" hidden="1" x14ac:dyDescent="0.4">
      <c r="A63" s="276" t="s">
        <v>697</v>
      </c>
      <c r="B63" s="277" t="s">
        <v>700</v>
      </c>
      <c r="C63" s="276"/>
    </row>
    <row r="64" spans="1:3" hidden="1" x14ac:dyDescent="0.4">
      <c r="A64" s="276" t="s">
        <v>697</v>
      </c>
      <c r="B64" s="277" t="s">
        <v>701</v>
      </c>
      <c r="C64" s="276"/>
    </row>
    <row r="65" spans="1:3" hidden="1" x14ac:dyDescent="0.4">
      <c r="A65" s="276" t="s">
        <v>702</v>
      </c>
      <c r="B65" s="277" t="s">
        <v>646</v>
      </c>
      <c r="C65" s="276" t="s">
        <v>657</v>
      </c>
    </row>
    <row r="66" spans="1:3" hidden="1" x14ac:dyDescent="0.4">
      <c r="A66" s="276" t="s">
        <v>702</v>
      </c>
      <c r="B66" s="277" t="s">
        <v>670</v>
      </c>
      <c r="C66" s="276"/>
    </row>
    <row r="67" spans="1:3" hidden="1" x14ac:dyDescent="0.4">
      <c r="A67" s="276" t="s">
        <v>702</v>
      </c>
      <c r="B67" s="277" t="s">
        <v>671</v>
      </c>
      <c r="C67" s="276"/>
    </row>
    <row r="68" spans="1:3" hidden="1" x14ac:dyDescent="0.4">
      <c r="A68" s="276" t="s">
        <v>702</v>
      </c>
      <c r="B68" s="277" t="s">
        <v>672</v>
      </c>
      <c r="C68" s="276"/>
    </row>
    <row r="69" spans="1:3" hidden="1" x14ac:dyDescent="0.4">
      <c r="A69" s="276" t="s">
        <v>703</v>
      </c>
      <c r="B69" s="277" t="s">
        <v>644</v>
      </c>
      <c r="C69" s="276" t="s">
        <v>657</v>
      </c>
    </row>
    <row r="70" spans="1:3" hidden="1" x14ac:dyDescent="0.4">
      <c r="A70" s="276" t="s">
        <v>703</v>
      </c>
      <c r="B70" s="277" t="s">
        <v>646</v>
      </c>
      <c r="C70" s="276"/>
    </row>
    <row r="71" spans="1:3" hidden="1" x14ac:dyDescent="0.4">
      <c r="A71" s="276" t="s">
        <v>703</v>
      </c>
      <c r="B71" s="277" t="s">
        <v>704</v>
      </c>
      <c r="C71" s="276"/>
    </row>
    <row r="72" spans="1:3" hidden="1" x14ac:dyDescent="0.4">
      <c r="A72" s="276" t="s">
        <v>703</v>
      </c>
      <c r="B72" s="277" t="s">
        <v>705</v>
      </c>
      <c r="C72" s="276"/>
    </row>
    <row r="73" spans="1:3" hidden="1" x14ac:dyDescent="0.4">
      <c r="A73" s="276" t="s">
        <v>703</v>
      </c>
      <c r="B73" s="277" t="s">
        <v>706</v>
      </c>
      <c r="C73" s="276"/>
    </row>
    <row r="74" spans="1:3" hidden="1" x14ac:dyDescent="0.4">
      <c r="A74" s="276" t="s">
        <v>707</v>
      </c>
      <c r="B74" s="277" t="s">
        <v>644</v>
      </c>
      <c r="C74" s="276" t="s">
        <v>657</v>
      </c>
    </row>
    <row r="75" spans="1:3" hidden="1" x14ac:dyDescent="0.4">
      <c r="A75" s="276" t="s">
        <v>707</v>
      </c>
      <c r="B75" s="277" t="s">
        <v>646</v>
      </c>
      <c r="C75" s="276"/>
    </row>
    <row r="76" spans="1:3" hidden="1" x14ac:dyDescent="0.4">
      <c r="A76" s="276" t="s">
        <v>707</v>
      </c>
      <c r="B76" s="277" t="s">
        <v>708</v>
      </c>
      <c r="C76" s="276"/>
    </row>
    <row r="77" spans="1:3" hidden="1" x14ac:dyDescent="0.4">
      <c r="A77" s="276" t="s">
        <v>707</v>
      </c>
      <c r="B77" s="277" t="s">
        <v>709</v>
      </c>
      <c r="C77" s="276"/>
    </row>
    <row r="78" spans="1:3" hidden="1" x14ac:dyDescent="0.4">
      <c r="A78" s="276" t="s">
        <v>707</v>
      </c>
      <c r="B78" s="277" t="s">
        <v>710</v>
      </c>
      <c r="C78" s="276"/>
    </row>
    <row r="79" spans="1:3" hidden="1" x14ac:dyDescent="0.4">
      <c r="A79" s="276" t="s">
        <v>707</v>
      </c>
      <c r="B79" s="277" t="s">
        <v>711</v>
      </c>
      <c r="C79" s="276"/>
    </row>
    <row r="80" spans="1:3" hidden="1" x14ac:dyDescent="0.4">
      <c r="A80" s="276" t="s">
        <v>707</v>
      </c>
      <c r="B80" s="277" t="s">
        <v>712</v>
      </c>
      <c r="C80" s="276"/>
    </row>
    <row r="81" spans="1:3" hidden="1" x14ac:dyDescent="0.4">
      <c r="A81" s="276" t="s">
        <v>713</v>
      </c>
      <c r="B81" s="277" t="s">
        <v>714</v>
      </c>
      <c r="C81" s="276" t="s">
        <v>657</v>
      </c>
    </row>
    <row r="82" spans="1:3" hidden="1" x14ac:dyDescent="0.4">
      <c r="A82" s="276" t="s">
        <v>713</v>
      </c>
      <c r="B82" s="277" t="s">
        <v>644</v>
      </c>
      <c r="C82" s="276"/>
    </row>
    <row r="83" spans="1:3" hidden="1" x14ac:dyDescent="0.4">
      <c r="A83" s="276" t="s">
        <v>713</v>
      </c>
      <c r="B83" s="277" t="s">
        <v>715</v>
      </c>
      <c r="C83" s="276"/>
    </row>
    <row r="84" spans="1:3" hidden="1" x14ac:dyDescent="0.4">
      <c r="A84" s="276" t="s">
        <v>713</v>
      </c>
      <c r="B84" s="277" t="s">
        <v>716</v>
      </c>
      <c r="C84" s="276"/>
    </row>
    <row r="85" spans="1:3" hidden="1" x14ac:dyDescent="0.4">
      <c r="A85" s="276" t="s">
        <v>713</v>
      </c>
      <c r="B85" s="277" t="s">
        <v>717</v>
      </c>
      <c r="C85" s="276"/>
    </row>
    <row r="86" spans="1:3" hidden="1" x14ac:dyDescent="0.4">
      <c r="A86" s="276" t="s">
        <v>713</v>
      </c>
      <c r="B86" s="277" t="s">
        <v>718</v>
      </c>
      <c r="C86" s="276"/>
    </row>
    <row r="87" spans="1:3" hidden="1" x14ac:dyDescent="0.4">
      <c r="A87" s="276" t="s">
        <v>713</v>
      </c>
      <c r="B87" s="277" t="s">
        <v>719</v>
      </c>
      <c r="C87" s="276"/>
    </row>
    <row r="88" spans="1:3" hidden="1" x14ac:dyDescent="0.4">
      <c r="A88" s="276" t="s">
        <v>713</v>
      </c>
      <c r="B88" s="277" t="s">
        <v>720</v>
      </c>
      <c r="C88" s="276"/>
    </row>
    <row r="89" spans="1:3" hidden="1" x14ac:dyDescent="0.4">
      <c r="A89" s="276" t="s">
        <v>713</v>
      </c>
      <c r="B89" s="277" t="s">
        <v>721</v>
      </c>
      <c r="C89" s="276"/>
    </row>
    <row r="90" spans="1:3" hidden="1" x14ac:dyDescent="0.4">
      <c r="A90" s="276" t="s">
        <v>722</v>
      </c>
      <c r="B90" s="277" t="s">
        <v>723</v>
      </c>
      <c r="C90" s="276" t="s">
        <v>657</v>
      </c>
    </row>
    <row r="91" spans="1:3" hidden="1" x14ac:dyDescent="0.4">
      <c r="A91" s="276" t="s">
        <v>722</v>
      </c>
      <c r="B91" s="277" t="s">
        <v>660</v>
      </c>
      <c r="C91" s="276"/>
    </row>
    <row r="92" spans="1:3" hidden="1" x14ac:dyDescent="0.4">
      <c r="A92" s="276" t="s">
        <v>724</v>
      </c>
      <c r="B92" s="277" t="s">
        <v>646</v>
      </c>
      <c r="C92" s="276" t="s">
        <v>657</v>
      </c>
    </row>
    <row r="93" spans="1:3" hidden="1" x14ac:dyDescent="0.4">
      <c r="A93" s="276" t="s">
        <v>724</v>
      </c>
      <c r="B93" s="277" t="s">
        <v>644</v>
      </c>
      <c r="C93" s="276"/>
    </row>
    <row r="94" spans="1:3" hidden="1" x14ac:dyDescent="0.4">
      <c r="A94" s="276" t="s">
        <v>724</v>
      </c>
      <c r="B94" s="277" t="s">
        <v>725</v>
      </c>
      <c r="C94" s="276"/>
    </row>
    <row r="95" spans="1:3" hidden="1" x14ac:dyDescent="0.4">
      <c r="A95" s="276" t="s">
        <v>724</v>
      </c>
      <c r="B95" s="277" t="s">
        <v>726</v>
      </c>
      <c r="C95" s="276"/>
    </row>
    <row r="96" spans="1:3" hidden="1" x14ac:dyDescent="0.4">
      <c r="A96" s="276" t="s">
        <v>724</v>
      </c>
      <c r="B96" s="277" t="s">
        <v>727</v>
      </c>
      <c r="C96" s="276"/>
    </row>
    <row r="97" spans="1:3" hidden="1" x14ac:dyDescent="0.4">
      <c r="A97" s="276" t="s">
        <v>728</v>
      </c>
      <c r="B97" s="277" t="s">
        <v>729</v>
      </c>
      <c r="C97" s="276" t="s">
        <v>657</v>
      </c>
    </row>
    <row r="98" spans="1:3" hidden="1" x14ac:dyDescent="0.4">
      <c r="A98" s="276" t="s">
        <v>728</v>
      </c>
      <c r="B98" s="277" t="s">
        <v>730</v>
      </c>
      <c r="C98" s="276"/>
    </row>
    <row r="99" spans="1:3" hidden="1" x14ac:dyDescent="0.4">
      <c r="A99" s="276" t="s">
        <v>728</v>
      </c>
      <c r="B99" s="277" t="s">
        <v>731</v>
      </c>
      <c r="C99" s="276"/>
    </row>
    <row r="100" spans="1:3" hidden="1" x14ac:dyDescent="0.4">
      <c r="A100" s="276" t="s">
        <v>732</v>
      </c>
      <c r="B100" s="277" t="s">
        <v>644</v>
      </c>
      <c r="C100" s="276" t="s">
        <v>657</v>
      </c>
    </row>
    <row r="101" spans="1:3" hidden="1" x14ac:dyDescent="0.4">
      <c r="A101" s="276" t="s">
        <v>732</v>
      </c>
      <c r="B101" s="277" t="s">
        <v>646</v>
      </c>
      <c r="C101" s="276"/>
    </row>
    <row r="102" spans="1:3" hidden="1" x14ac:dyDescent="0.4">
      <c r="A102" s="276" t="s">
        <v>732</v>
      </c>
      <c r="B102" s="277" t="s">
        <v>733</v>
      </c>
      <c r="C102" s="276"/>
    </row>
    <row r="103" spans="1:3" hidden="1" x14ac:dyDescent="0.4">
      <c r="A103" s="276" t="s">
        <v>732</v>
      </c>
      <c r="B103" s="277" t="s">
        <v>660</v>
      </c>
      <c r="C103" s="276"/>
    </row>
    <row r="104" spans="1:3" hidden="1" x14ac:dyDescent="0.4">
      <c r="A104" s="276" t="s">
        <v>734</v>
      </c>
      <c r="B104" s="277" t="s">
        <v>644</v>
      </c>
      <c r="C104" s="276" t="s">
        <v>657</v>
      </c>
    </row>
    <row r="105" spans="1:3" hidden="1" x14ac:dyDescent="0.4">
      <c r="A105" s="276" t="s">
        <v>734</v>
      </c>
      <c r="B105" s="277" t="s">
        <v>660</v>
      </c>
      <c r="C105" s="276"/>
    </row>
    <row r="106" spans="1:3" hidden="1" x14ac:dyDescent="0.4">
      <c r="A106" s="276" t="s">
        <v>734</v>
      </c>
      <c r="B106" s="277" t="s">
        <v>646</v>
      </c>
      <c r="C106" s="276"/>
    </row>
    <row r="107" spans="1:3" hidden="1" x14ac:dyDescent="0.4">
      <c r="A107" s="276" t="s">
        <v>734</v>
      </c>
      <c r="B107" s="277" t="s">
        <v>715</v>
      </c>
      <c r="C107" s="276"/>
    </row>
    <row r="108" spans="1:3" hidden="1" x14ac:dyDescent="0.4">
      <c r="A108" s="276" t="s">
        <v>735</v>
      </c>
      <c r="B108" s="277" t="s">
        <v>644</v>
      </c>
      <c r="C108" s="276" t="s">
        <v>657</v>
      </c>
    </row>
    <row r="109" spans="1:3" hidden="1" x14ac:dyDescent="0.4">
      <c r="A109" s="276" t="s">
        <v>735</v>
      </c>
      <c r="B109" s="277" t="s">
        <v>646</v>
      </c>
      <c r="C109" s="276"/>
    </row>
    <row r="110" spans="1:3" hidden="1" x14ac:dyDescent="0.4">
      <c r="A110" s="276" t="s">
        <v>735</v>
      </c>
      <c r="B110" s="277" t="s">
        <v>736</v>
      </c>
      <c r="C110" s="276"/>
    </row>
    <row r="111" spans="1:3" hidden="1" x14ac:dyDescent="0.4">
      <c r="A111" s="276" t="s">
        <v>737</v>
      </c>
      <c r="B111" s="277" t="s">
        <v>646</v>
      </c>
      <c r="C111" s="276" t="s">
        <v>657</v>
      </c>
    </row>
    <row r="112" spans="1:3" hidden="1" x14ac:dyDescent="0.4">
      <c r="A112" s="276" t="s">
        <v>737</v>
      </c>
      <c r="B112" s="277" t="s">
        <v>644</v>
      </c>
      <c r="C112" s="276"/>
    </row>
    <row r="113" spans="1:3" hidden="1" x14ac:dyDescent="0.4">
      <c r="A113" s="276" t="s">
        <v>737</v>
      </c>
      <c r="B113" s="277" t="s">
        <v>738</v>
      </c>
      <c r="C113" s="276"/>
    </row>
    <row r="114" spans="1:3" hidden="1" x14ac:dyDescent="0.4">
      <c r="A114" s="276" t="s">
        <v>737</v>
      </c>
      <c r="B114" s="277" t="s">
        <v>739</v>
      </c>
      <c r="C114" s="276"/>
    </row>
    <row r="115" spans="1:3" hidden="1" x14ac:dyDescent="0.4">
      <c r="A115" s="276" t="s">
        <v>740</v>
      </c>
      <c r="B115" s="277" t="s">
        <v>682</v>
      </c>
      <c r="C115" s="276" t="s">
        <v>645</v>
      </c>
    </row>
    <row r="116" spans="1:3" hidden="1" x14ac:dyDescent="0.4">
      <c r="A116" s="276" t="s">
        <v>740</v>
      </c>
      <c r="B116" s="277" t="s">
        <v>683</v>
      </c>
      <c r="C116" s="276"/>
    </row>
    <row r="117" spans="1:3" hidden="1" x14ac:dyDescent="0.4">
      <c r="A117" s="276" t="s">
        <v>740</v>
      </c>
      <c r="B117" s="277" t="s">
        <v>648</v>
      </c>
      <c r="C117" s="276"/>
    </row>
    <row r="118" spans="1:3" hidden="1" x14ac:dyDescent="0.4">
      <c r="A118" s="276" t="s">
        <v>740</v>
      </c>
      <c r="B118" s="277" t="s">
        <v>741</v>
      </c>
      <c r="C118" s="276"/>
    </row>
    <row r="119" spans="1:3" hidden="1" x14ac:dyDescent="0.4">
      <c r="A119" s="276" t="s">
        <v>740</v>
      </c>
      <c r="B119" s="277" t="s">
        <v>742</v>
      </c>
      <c r="C119" s="276"/>
    </row>
    <row r="120" spans="1:3" hidden="1" x14ac:dyDescent="0.4">
      <c r="A120" s="276" t="s">
        <v>740</v>
      </c>
      <c r="B120" s="277" t="s">
        <v>685</v>
      </c>
      <c r="C120" s="276"/>
    </row>
    <row r="121" spans="1:3" hidden="1" x14ac:dyDescent="0.4">
      <c r="A121" s="276" t="s">
        <v>740</v>
      </c>
      <c r="B121" s="277" t="s">
        <v>687</v>
      </c>
      <c r="C121" s="276"/>
    </row>
    <row r="122" spans="1:3" hidden="1" x14ac:dyDescent="0.4">
      <c r="A122" s="276" t="s">
        <v>740</v>
      </c>
      <c r="B122" s="277" t="s">
        <v>743</v>
      </c>
      <c r="C122" s="276"/>
    </row>
    <row r="123" spans="1:3" hidden="1" x14ac:dyDescent="0.4">
      <c r="A123" s="276" t="s">
        <v>740</v>
      </c>
      <c r="B123" s="277" t="s">
        <v>744</v>
      </c>
      <c r="C123" s="276"/>
    </row>
    <row r="124" spans="1:3" hidden="1" x14ac:dyDescent="0.4">
      <c r="A124" s="276" t="s">
        <v>745</v>
      </c>
      <c r="B124" s="277" t="s">
        <v>644</v>
      </c>
      <c r="C124" s="276" t="s">
        <v>657</v>
      </c>
    </row>
    <row r="125" spans="1:3" hidden="1" x14ac:dyDescent="0.4">
      <c r="A125" s="276" t="s">
        <v>745</v>
      </c>
      <c r="B125" s="277" t="s">
        <v>646</v>
      </c>
      <c r="C125" s="276"/>
    </row>
    <row r="126" spans="1:3" hidden="1" x14ac:dyDescent="0.4">
      <c r="A126" s="276" t="s">
        <v>745</v>
      </c>
      <c r="B126" s="277" t="s">
        <v>746</v>
      </c>
      <c r="C126" s="276"/>
    </row>
    <row r="127" spans="1:3" hidden="1" x14ac:dyDescent="0.4">
      <c r="A127" s="276" t="s">
        <v>745</v>
      </c>
      <c r="B127" s="277" t="s">
        <v>747</v>
      </c>
      <c r="C127" s="276"/>
    </row>
    <row r="128" spans="1:3" hidden="1" x14ac:dyDescent="0.4">
      <c r="A128" s="276" t="s">
        <v>745</v>
      </c>
      <c r="B128" s="277" t="s">
        <v>748</v>
      </c>
      <c r="C128" s="276"/>
    </row>
    <row r="129" spans="1:3" hidden="1" x14ac:dyDescent="0.4">
      <c r="A129" s="276" t="s">
        <v>745</v>
      </c>
      <c r="B129" s="277" t="s">
        <v>749</v>
      </c>
      <c r="C129" s="276"/>
    </row>
    <row r="130" spans="1:3" hidden="1" x14ac:dyDescent="0.4">
      <c r="A130" s="276" t="s">
        <v>745</v>
      </c>
      <c r="B130" s="277" t="s">
        <v>750</v>
      </c>
      <c r="C130" s="276"/>
    </row>
    <row r="131" spans="1:3" hidden="1" x14ac:dyDescent="0.4">
      <c r="A131" s="276" t="s">
        <v>745</v>
      </c>
      <c r="B131" s="277" t="s">
        <v>751</v>
      </c>
      <c r="C131" s="276"/>
    </row>
    <row r="132" spans="1:3" hidden="1" x14ac:dyDescent="0.4">
      <c r="A132" s="276" t="s">
        <v>745</v>
      </c>
      <c r="B132" s="277" t="s">
        <v>752</v>
      </c>
      <c r="C132" s="276"/>
    </row>
    <row r="133" spans="1:3" hidden="1" x14ac:dyDescent="0.4">
      <c r="A133" s="276" t="s">
        <v>753</v>
      </c>
      <c r="B133" s="277" t="s">
        <v>644</v>
      </c>
      <c r="C133" s="276" t="s">
        <v>645</v>
      </c>
    </row>
    <row r="134" spans="1:3" hidden="1" x14ac:dyDescent="0.4">
      <c r="A134" s="276" t="s">
        <v>753</v>
      </c>
      <c r="B134" s="277" t="s">
        <v>646</v>
      </c>
      <c r="C134" s="276"/>
    </row>
    <row r="135" spans="1:3" hidden="1" x14ac:dyDescent="0.4">
      <c r="A135" s="276" t="s">
        <v>753</v>
      </c>
      <c r="B135" s="277" t="s">
        <v>715</v>
      </c>
      <c r="C135" s="276"/>
    </row>
    <row r="136" spans="1:3" hidden="1" x14ac:dyDescent="0.4">
      <c r="A136" s="276" t="s">
        <v>753</v>
      </c>
      <c r="B136" s="277" t="s">
        <v>660</v>
      </c>
      <c r="C136" s="276"/>
    </row>
    <row r="137" spans="1:3" hidden="1" x14ac:dyDescent="0.4">
      <c r="A137" s="276" t="s">
        <v>204</v>
      </c>
      <c r="B137" s="277" t="s">
        <v>646</v>
      </c>
      <c r="C137" s="276" t="s">
        <v>657</v>
      </c>
    </row>
    <row r="138" spans="1:3" hidden="1" x14ac:dyDescent="0.4">
      <c r="A138" s="276" t="s">
        <v>204</v>
      </c>
      <c r="B138" s="277" t="s">
        <v>644</v>
      </c>
      <c r="C138" s="276"/>
    </row>
    <row r="139" spans="1:3" hidden="1" x14ac:dyDescent="0.4">
      <c r="A139" s="276" t="s">
        <v>204</v>
      </c>
      <c r="B139" s="277" t="s">
        <v>738</v>
      </c>
      <c r="C139" s="276"/>
    </row>
    <row r="140" spans="1:3" hidden="1" x14ac:dyDescent="0.4">
      <c r="A140" s="276" t="s">
        <v>204</v>
      </c>
      <c r="B140" s="277" t="s">
        <v>739</v>
      </c>
      <c r="C140" s="276"/>
    </row>
    <row r="141" spans="1:3" hidden="1" x14ac:dyDescent="0.4">
      <c r="A141" s="276" t="s">
        <v>754</v>
      </c>
      <c r="B141" s="277" t="s">
        <v>682</v>
      </c>
      <c r="C141" s="276" t="s">
        <v>645</v>
      </c>
    </row>
    <row r="142" spans="1:3" hidden="1" x14ac:dyDescent="0.4">
      <c r="A142" s="276" t="s">
        <v>754</v>
      </c>
      <c r="B142" s="277" t="s">
        <v>683</v>
      </c>
      <c r="C142" s="276"/>
    </row>
    <row r="143" spans="1:3" hidden="1" x14ac:dyDescent="0.4">
      <c r="A143" s="276" t="s">
        <v>754</v>
      </c>
      <c r="B143" s="277" t="s">
        <v>648</v>
      </c>
      <c r="C143" s="276"/>
    </row>
    <row r="144" spans="1:3" hidden="1" x14ac:dyDescent="0.4">
      <c r="A144" s="276" t="s">
        <v>754</v>
      </c>
      <c r="B144" s="277" t="s">
        <v>741</v>
      </c>
      <c r="C144" s="276"/>
    </row>
    <row r="145" spans="1:3" hidden="1" x14ac:dyDescent="0.4">
      <c r="A145" s="276" t="s">
        <v>754</v>
      </c>
      <c r="B145" s="277" t="s">
        <v>742</v>
      </c>
      <c r="C145" s="276"/>
    </row>
    <row r="146" spans="1:3" hidden="1" x14ac:dyDescent="0.4">
      <c r="A146" s="276" t="s">
        <v>754</v>
      </c>
      <c r="B146" s="277" t="s">
        <v>685</v>
      </c>
      <c r="C146" s="276"/>
    </row>
    <row r="147" spans="1:3" hidden="1" x14ac:dyDescent="0.4">
      <c r="A147" s="276" t="s">
        <v>754</v>
      </c>
      <c r="B147" s="277" t="s">
        <v>687</v>
      </c>
      <c r="C147" s="276"/>
    </row>
    <row r="148" spans="1:3" hidden="1" x14ac:dyDescent="0.4">
      <c r="A148" s="276" t="s">
        <v>754</v>
      </c>
      <c r="B148" s="277" t="s">
        <v>743</v>
      </c>
      <c r="C148" s="276"/>
    </row>
    <row r="149" spans="1:3" hidden="1" x14ac:dyDescent="0.4">
      <c r="A149" s="276" t="s">
        <v>754</v>
      </c>
      <c r="B149" s="277" t="s">
        <v>744</v>
      </c>
      <c r="C149" s="276"/>
    </row>
    <row r="150" spans="1:3" hidden="1" x14ac:dyDescent="0.4">
      <c r="A150" s="276" t="s">
        <v>755</v>
      </c>
      <c r="B150" s="277" t="s">
        <v>644</v>
      </c>
      <c r="C150" s="276" t="s">
        <v>657</v>
      </c>
    </row>
    <row r="151" spans="1:3" hidden="1" x14ac:dyDescent="0.4">
      <c r="A151" s="276" t="s">
        <v>755</v>
      </c>
      <c r="B151" s="277" t="s">
        <v>646</v>
      </c>
      <c r="C151" s="276"/>
    </row>
    <row r="152" spans="1:3" hidden="1" x14ac:dyDescent="0.4">
      <c r="A152" s="276" t="s">
        <v>755</v>
      </c>
      <c r="B152" s="277" t="s">
        <v>660</v>
      </c>
      <c r="C152" s="276"/>
    </row>
    <row r="153" spans="1:3" hidden="1" x14ac:dyDescent="0.4">
      <c r="A153" s="276" t="s">
        <v>756</v>
      </c>
      <c r="B153" s="277" t="s">
        <v>644</v>
      </c>
      <c r="C153" s="276" t="s">
        <v>657</v>
      </c>
    </row>
    <row r="154" spans="1:3" hidden="1" x14ac:dyDescent="0.4">
      <c r="A154" s="276" t="s">
        <v>756</v>
      </c>
      <c r="B154" s="277" t="s">
        <v>646</v>
      </c>
      <c r="C154" s="276"/>
    </row>
    <row r="155" spans="1:3" hidden="1" x14ac:dyDescent="0.4">
      <c r="A155" s="276" t="s">
        <v>756</v>
      </c>
      <c r="B155" s="277" t="s">
        <v>660</v>
      </c>
      <c r="C155" s="276"/>
    </row>
    <row r="156" spans="1:3" hidden="1" x14ac:dyDescent="0.4">
      <c r="A156" s="276" t="s">
        <v>757</v>
      </c>
      <c r="B156" s="277" t="s">
        <v>646</v>
      </c>
      <c r="C156" s="276" t="s">
        <v>657</v>
      </c>
    </row>
    <row r="157" spans="1:3" hidden="1" x14ac:dyDescent="0.4">
      <c r="A157" s="276" t="s">
        <v>757</v>
      </c>
      <c r="B157" s="277" t="s">
        <v>644</v>
      </c>
      <c r="C157" s="276"/>
    </row>
    <row r="158" spans="1:3" hidden="1" x14ac:dyDescent="0.4">
      <c r="A158" s="276" t="s">
        <v>757</v>
      </c>
      <c r="B158" s="277" t="s">
        <v>733</v>
      </c>
      <c r="C158" s="276"/>
    </row>
    <row r="159" spans="1:3" hidden="1" x14ac:dyDescent="0.4">
      <c r="A159" s="276" t="s">
        <v>757</v>
      </c>
      <c r="B159" s="277" t="s">
        <v>758</v>
      </c>
      <c r="C159" s="276"/>
    </row>
    <row r="160" spans="1:3" hidden="1" x14ac:dyDescent="0.4">
      <c r="A160" s="276" t="s">
        <v>757</v>
      </c>
      <c r="B160" s="277" t="s">
        <v>759</v>
      </c>
      <c r="C160" s="276"/>
    </row>
    <row r="161" spans="1:3" hidden="1" x14ac:dyDescent="0.4">
      <c r="A161" s="276" t="s">
        <v>757</v>
      </c>
      <c r="B161" s="277" t="s">
        <v>760</v>
      </c>
      <c r="C161" s="276"/>
    </row>
    <row r="162" spans="1:3" hidden="1" x14ac:dyDescent="0.4">
      <c r="A162" s="276" t="s">
        <v>757</v>
      </c>
      <c r="B162" s="277" t="s">
        <v>761</v>
      </c>
      <c r="C162" s="276"/>
    </row>
    <row r="163" spans="1:3" hidden="1" x14ac:dyDescent="0.4">
      <c r="A163" s="276" t="s">
        <v>757</v>
      </c>
      <c r="B163" s="277" t="s">
        <v>762</v>
      </c>
      <c r="C163" s="276"/>
    </row>
    <row r="164" spans="1:3" hidden="1" x14ac:dyDescent="0.4">
      <c r="A164" s="276" t="s">
        <v>757</v>
      </c>
      <c r="B164" s="277" t="s">
        <v>763</v>
      </c>
      <c r="C164" s="276"/>
    </row>
    <row r="165" spans="1:3" hidden="1" x14ac:dyDescent="0.4">
      <c r="A165" s="276" t="s">
        <v>757</v>
      </c>
      <c r="B165" s="277" t="s">
        <v>764</v>
      </c>
      <c r="C165" s="276"/>
    </row>
    <row r="166" spans="1:3" hidden="1" x14ac:dyDescent="0.4">
      <c r="A166" s="276" t="s">
        <v>757</v>
      </c>
      <c r="B166" s="277" t="s">
        <v>765</v>
      </c>
      <c r="C166" s="276"/>
    </row>
    <row r="167" spans="1:3" hidden="1" x14ac:dyDescent="0.4">
      <c r="A167" s="276" t="s">
        <v>757</v>
      </c>
      <c r="B167" s="277" t="s">
        <v>766</v>
      </c>
      <c r="C167" s="276"/>
    </row>
    <row r="168" spans="1:3" hidden="1" x14ac:dyDescent="0.4">
      <c r="A168" s="276" t="s">
        <v>757</v>
      </c>
      <c r="B168" s="277" t="s">
        <v>767</v>
      </c>
      <c r="C168" s="276"/>
    </row>
    <row r="169" spans="1:3" hidden="1" x14ac:dyDescent="0.4">
      <c r="A169" s="276" t="s">
        <v>757</v>
      </c>
      <c r="B169" s="277" t="s">
        <v>768</v>
      </c>
      <c r="C169" s="276"/>
    </row>
    <row r="170" spans="1:3" hidden="1" x14ac:dyDescent="0.4">
      <c r="A170" s="276" t="s">
        <v>757</v>
      </c>
      <c r="B170" s="277" t="s">
        <v>769</v>
      </c>
      <c r="C170" s="276"/>
    </row>
    <row r="171" spans="1:3" hidden="1" x14ac:dyDescent="0.4">
      <c r="A171" s="276" t="s">
        <v>757</v>
      </c>
      <c r="B171" s="277" t="s">
        <v>770</v>
      </c>
      <c r="C171" s="276"/>
    </row>
    <row r="172" spans="1:3" hidden="1" x14ac:dyDescent="0.4">
      <c r="A172" s="276" t="s">
        <v>757</v>
      </c>
      <c r="B172" s="277" t="s">
        <v>771</v>
      </c>
      <c r="C172" s="276"/>
    </row>
    <row r="173" spans="1:3" hidden="1" x14ac:dyDescent="0.4">
      <c r="A173" s="276" t="s">
        <v>757</v>
      </c>
      <c r="B173" s="277" t="s">
        <v>772</v>
      </c>
      <c r="C173" s="276"/>
    </row>
    <row r="174" spans="1:3" hidden="1" x14ac:dyDescent="0.4">
      <c r="A174" s="276" t="s">
        <v>757</v>
      </c>
      <c r="B174" s="277" t="s">
        <v>773</v>
      </c>
      <c r="C174" s="276"/>
    </row>
    <row r="175" spans="1:3" hidden="1" x14ac:dyDescent="0.4">
      <c r="A175" s="276" t="s">
        <v>757</v>
      </c>
      <c r="B175" s="277" t="s">
        <v>774</v>
      </c>
      <c r="C175" s="276"/>
    </row>
    <row r="176" spans="1:3" hidden="1" x14ac:dyDescent="0.4">
      <c r="A176" s="276" t="s">
        <v>757</v>
      </c>
      <c r="B176" s="277" t="s">
        <v>775</v>
      </c>
      <c r="C176" s="276"/>
    </row>
    <row r="177" spans="1:3" hidden="1" x14ac:dyDescent="0.4">
      <c r="A177" s="276" t="s">
        <v>757</v>
      </c>
      <c r="B177" s="277" t="s">
        <v>776</v>
      </c>
      <c r="C177" s="276"/>
    </row>
    <row r="178" spans="1:3" hidden="1" x14ac:dyDescent="0.4">
      <c r="A178" s="276" t="s">
        <v>777</v>
      </c>
      <c r="B178" s="277" t="s">
        <v>682</v>
      </c>
      <c r="C178" s="276" t="s">
        <v>657</v>
      </c>
    </row>
    <row r="179" spans="1:3" hidden="1" x14ac:dyDescent="0.4">
      <c r="A179" s="276" t="s">
        <v>777</v>
      </c>
      <c r="B179" s="277" t="s">
        <v>683</v>
      </c>
      <c r="C179" s="276"/>
    </row>
    <row r="180" spans="1:3" hidden="1" x14ac:dyDescent="0.4">
      <c r="A180" s="276" t="s">
        <v>777</v>
      </c>
      <c r="B180" s="277" t="s">
        <v>778</v>
      </c>
      <c r="C180" s="276"/>
    </row>
    <row r="181" spans="1:3" hidden="1" x14ac:dyDescent="0.4">
      <c r="A181" s="276" t="s">
        <v>777</v>
      </c>
      <c r="B181" s="277" t="s">
        <v>779</v>
      </c>
      <c r="C181" s="276"/>
    </row>
    <row r="182" spans="1:3" hidden="1" x14ac:dyDescent="0.4">
      <c r="A182" s="276" t="s">
        <v>777</v>
      </c>
      <c r="B182" s="277" t="s">
        <v>780</v>
      </c>
      <c r="C182" s="276"/>
    </row>
    <row r="183" spans="1:3" hidden="1" x14ac:dyDescent="0.4">
      <c r="A183" s="276" t="s">
        <v>781</v>
      </c>
      <c r="B183" s="277" t="s">
        <v>682</v>
      </c>
      <c r="C183" s="276" t="s">
        <v>657</v>
      </c>
    </row>
    <row r="184" spans="1:3" hidden="1" x14ac:dyDescent="0.4">
      <c r="A184" s="276" t="s">
        <v>781</v>
      </c>
      <c r="B184" s="277" t="s">
        <v>683</v>
      </c>
      <c r="C184" s="276"/>
    </row>
    <row r="185" spans="1:3" hidden="1" x14ac:dyDescent="0.4">
      <c r="A185" s="276" t="s">
        <v>781</v>
      </c>
      <c r="B185" s="277" t="s">
        <v>782</v>
      </c>
      <c r="C185" s="276"/>
    </row>
    <row r="186" spans="1:3" hidden="1" x14ac:dyDescent="0.4">
      <c r="A186" s="276" t="s">
        <v>781</v>
      </c>
      <c r="B186" s="277" t="s">
        <v>783</v>
      </c>
      <c r="C186" s="276"/>
    </row>
    <row r="187" spans="1:3" hidden="1" x14ac:dyDescent="0.4">
      <c r="A187" s="276" t="s">
        <v>781</v>
      </c>
      <c r="B187" s="277" t="s">
        <v>784</v>
      </c>
      <c r="C187" s="276"/>
    </row>
    <row r="188" spans="1:3" hidden="1" x14ac:dyDescent="0.4">
      <c r="A188" s="276" t="s">
        <v>781</v>
      </c>
      <c r="B188" s="277" t="s">
        <v>785</v>
      </c>
      <c r="C188" s="276"/>
    </row>
    <row r="189" spans="1:3" hidden="1" x14ac:dyDescent="0.4">
      <c r="A189" s="276" t="s">
        <v>786</v>
      </c>
      <c r="B189" s="277" t="s">
        <v>682</v>
      </c>
      <c r="C189" s="276" t="s">
        <v>657</v>
      </c>
    </row>
    <row r="190" spans="1:3" hidden="1" x14ac:dyDescent="0.4">
      <c r="A190" s="276" t="s">
        <v>786</v>
      </c>
      <c r="B190" s="277" t="s">
        <v>683</v>
      </c>
      <c r="C190" s="276"/>
    </row>
    <row r="191" spans="1:3" hidden="1" x14ac:dyDescent="0.4">
      <c r="A191" s="276" t="s">
        <v>786</v>
      </c>
      <c r="B191" s="277" t="s">
        <v>782</v>
      </c>
      <c r="C191" s="276"/>
    </row>
    <row r="192" spans="1:3" hidden="1" x14ac:dyDescent="0.4">
      <c r="A192" s="276" t="s">
        <v>786</v>
      </c>
      <c r="B192" s="277" t="s">
        <v>783</v>
      </c>
      <c r="C192" s="276"/>
    </row>
    <row r="193" spans="1:3" hidden="1" x14ac:dyDescent="0.4">
      <c r="A193" s="276" t="s">
        <v>786</v>
      </c>
      <c r="B193" s="277" t="s">
        <v>784</v>
      </c>
      <c r="C193" s="276"/>
    </row>
    <row r="194" spans="1:3" hidden="1" x14ac:dyDescent="0.4">
      <c r="A194" s="276" t="s">
        <v>786</v>
      </c>
      <c r="B194" s="277" t="s">
        <v>785</v>
      </c>
      <c r="C194" s="276"/>
    </row>
    <row r="195" spans="1:3" hidden="1" x14ac:dyDescent="0.4">
      <c r="A195" s="276" t="s">
        <v>786</v>
      </c>
      <c r="B195" s="277" t="s">
        <v>779</v>
      </c>
      <c r="C195" s="276"/>
    </row>
    <row r="196" spans="1:3" hidden="1" x14ac:dyDescent="0.4">
      <c r="A196" s="276" t="s">
        <v>787</v>
      </c>
      <c r="B196" s="277" t="s">
        <v>733</v>
      </c>
      <c r="C196" s="276" t="s">
        <v>657</v>
      </c>
    </row>
    <row r="197" spans="1:3" hidden="1" x14ac:dyDescent="0.4">
      <c r="A197" s="276" t="s">
        <v>787</v>
      </c>
      <c r="B197" s="277" t="s">
        <v>788</v>
      </c>
      <c r="C197" s="276"/>
    </row>
    <row r="198" spans="1:3" hidden="1" x14ac:dyDescent="0.4">
      <c r="A198" s="276" t="s">
        <v>789</v>
      </c>
      <c r="B198" s="277" t="s">
        <v>790</v>
      </c>
      <c r="C198" s="276" t="s">
        <v>657</v>
      </c>
    </row>
    <row r="199" spans="1:3" hidden="1" x14ac:dyDescent="0.4">
      <c r="A199" s="276" t="s">
        <v>789</v>
      </c>
      <c r="B199" s="277" t="s">
        <v>791</v>
      </c>
      <c r="C199" s="276"/>
    </row>
    <row r="200" spans="1:3" hidden="1" x14ac:dyDescent="0.4">
      <c r="A200" s="276" t="s">
        <v>789</v>
      </c>
      <c r="B200" s="277" t="s">
        <v>792</v>
      </c>
      <c r="C200" s="276"/>
    </row>
    <row r="201" spans="1:3" hidden="1" x14ac:dyDescent="0.4">
      <c r="A201" s="276" t="s">
        <v>789</v>
      </c>
      <c r="B201" s="277" t="s">
        <v>731</v>
      </c>
      <c r="C201" s="276"/>
    </row>
    <row r="202" spans="1:3" hidden="1" x14ac:dyDescent="0.4">
      <c r="A202" s="276" t="s">
        <v>789</v>
      </c>
      <c r="B202" s="277" t="s">
        <v>793</v>
      </c>
      <c r="C202" s="276"/>
    </row>
    <row r="203" spans="1:3" hidden="1" x14ac:dyDescent="0.4">
      <c r="A203" s="276" t="s">
        <v>789</v>
      </c>
      <c r="B203" s="277" t="s">
        <v>794</v>
      </c>
      <c r="C203" s="276"/>
    </row>
    <row r="204" spans="1:3" hidden="1" x14ac:dyDescent="0.4">
      <c r="A204" s="276" t="s">
        <v>789</v>
      </c>
      <c r="B204" s="277" t="s">
        <v>795</v>
      </c>
      <c r="C204" s="276"/>
    </row>
    <row r="205" spans="1:3" hidden="1" x14ac:dyDescent="0.4">
      <c r="A205" s="276" t="s">
        <v>789</v>
      </c>
      <c r="B205" s="277" t="s">
        <v>796</v>
      </c>
      <c r="C205" s="276"/>
    </row>
    <row r="206" spans="1:3" hidden="1" x14ac:dyDescent="0.4">
      <c r="A206" s="276" t="s">
        <v>789</v>
      </c>
      <c r="B206" s="277" t="s">
        <v>797</v>
      </c>
      <c r="C206" s="276"/>
    </row>
    <row r="207" spans="1:3" hidden="1" x14ac:dyDescent="0.4">
      <c r="A207" s="276" t="s">
        <v>789</v>
      </c>
      <c r="B207" s="277" t="s">
        <v>798</v>
      </c>
      <c r="C207" s="276"/>
    </row>
    <row r="208" spans="1:3" hidden="1" x14ac:dyDescent="0.4">
      <c r="A208" s="276" t="s">
        <v>789</v>
      </c>
      <c r="B208" s="277" t="s">
        <v>799</v>
      </c>
      <c r="C208" s="276"/>
    </row>
    <row r="209" spans="1:3" hidden="1" x14ac:dyDescent="0.4">
      <c r="A209" s="276" t="s">
        <v>789</v>
      </c>
      <c r="B209" s="277" t="s">
        <v>800</v>
      </c>
      <c r="C209" s="276"/>
    </row>
    <row r="210" spans="1:3" hidden="1" x14ac:dyDescent="0.4">
      <c r="A210" s="276" t="s">
        <v>789</v>
      </c>
      <c r="B210" s="277" t="s">
        <v>801</v>
      </c>
      <c r="C210" s="276"/>
    </row>
    <row r="211" spans="1:3" hidden="1" x14ac:dyDescent="0.4">
      <c r="A211" s="276" t="s">
        <v>789</v>
      </c>
      <c r="B211" s="277" t="s">
        <v>802</v>
      </c>
      <c r="C211" s="276"/>
    </row>
    <row r="212" spans="1:3" hidden="1" x14ac:dyDescent="0.4">
      <c r="A212" s="276" t="s">
        <v>789</v>
      </c>
      <c r="B212" s="277" t="s">
        <v>803</v>
      </c>
      <c r="C212" s="276"/>
    </row>
    <row r="213" spans="1:3" hidden="1" x14ac:dyDescent="0.4">
      <c r="A213" s="276" t="s">
        <v>789</v>
      </c>
      <c r="B213" s="277" t="s">
        <v>804</v>
      </c>
      <c r="C213" s="276"/>
    </row>
    <row r="214" spans="1:3" hidden="1" x14ac:dyDescent="0.4">
      <c r="A214" s="276" t="s">
        <v>789</v>
      </c>
      <c r="B214" s="277" t="s">
        <v>805</v>
      </c>
      <c r="C214" s="276"/>
    </row>
    <row r="215" spans="1:3" hidden="1" x14ac:dyDescent="0.4">
      <c r="A215" s="276" t="s">
        <v>789</v>
      </c>
      <c r="B215" s="277" t="s">
        <v>806</v>
      </c>
      <c r="C215" s="276"/>
    </row>
    <row r="216" spans="1:3" hidden="1" x14ac:dyDescent="0.4">
      <c r="A216" s="276" t="s">
        <v>789</v>
      </c>
      <c r="B216" s="277" t="s">
        <v>807</v>
      </c>
      <c r="C216" s="276"/>
    </row>
    <row r="217" spans="1:3" hidden="1" x14ac:dyDescent="0.4">
      <c r="A217" s="276" t="s">
        <v>789</v>
      </c>
      <c r="B217" s="277" t="s">
        <v>808</v>
      </c>
      <c r="C217" s="276"/>
    </row>
    <row r="218" spans="1:3" hidden="1" x14ac:dyDescent="0.4">
      <c r="A218" s="276" t="s">
        <v>789</v>
      </c>
      <c r="B218" s="277" t="s">
        <v>809</v>
      </c>
      <c r="C218" s="276"/>
    </row>
    <row r="219" spans="1:3" hidden="1" x14ac:dyDescent="0.4">
      <c r="A219" s="276" t="s">
        <v>789</v>
      </c>
      <c r="B219" s="277" t="s">
        <v>810</v>
      </c>
      <c r="C219" s="276"/>
    </row>
    <row r="220" spans="1:3" hidden="1" x14ac:dyDescent="0.4">
      <c r="A220" s="276" t="s">
        <v>789</v>
      </c>
      <c r="B220" s="277" t="s">
        <v>811</v>
      </c>
      <c r="C220" s="276"/>
    </row>
    <row r="221" spans="1:3" hidden="1" x14ac:dyDescent="0.4">
      <c r="A221" s="276" t="s">
        <v>789</v>
      </c>
      <c r="B221" s="277" t="s">
        <v>812</v>
      </c>
      <c r="C221" s="276"/>
    </row>
    <row r="222" spans="1:3" hidden="1" x14ac:dyDescent="0.4">
      <c r="A222" s="276" t="s">
        <v>789</v>
      </c>
      <c r="B222" s="277" t="s">
        <v>813</v>
      </c>
      <c r="C222" s="276"/>
    </row>
    <row r="223" spans="1:3" hidden="1" x14ac:dyDescent="0.4">
      <c r="A223" s="276" t="s">
        <v>789</v>
      </c>
      <c r="B223" s="277" t="s">
        <v>814</v>
      </c>
      <c r="C223" s="276"/>
    </row>
    <row r="224" spans="1:3" hidden="1" x14ac:dyDescent="0.4">
      <c r="A224" s="276" t="s">
        <v>789</v>
      </c>
      <c r="B224" s="277" t="s">
        <v>815</v>
      </c>
      <c r="C224" s="276"/>
    </row>
    <row r="225" spans="1:3" hidden="1" x14ac:dyDescent="0.4">
      <c r="A225" s="276" t="s">
        <v>789</v>
      </c>
      <c r="B225" s="277" t="s">
        <v>816</v>
      </c>
      <c r="C225" s="276"/>
    </row>
    <row r="226" spans="1:3" hidden="1" x14ac:dyDescent="0.4">
      <c r="A226" s="276" t="s">
        <v>789</v>
      </c>
      <c r="B226" s="277" t="s">
        <v>817</v>
      </c>
      <c r="C226" s="276"/>
    </row>
    <row r="227" spans="1:3" hidden="1" x14ac:dyDescent="0.4">
      <c r="A227" s="276" t="s">
        <v>789</v>
      </c>
      <c r="B227" s="277" t="s">
        <v>818</v>
      </c>
      <c r="C227" s="276"/>
    </row>
    <row r="228" spans="1:3" hidden="1" x14ac:dyDescent="0.4">
      <c r="A228" s="276" t="s">
        <v>789</v>
      </c>
      <c r="B228" s="277" t="s">
        <v>819</v>
      </c>
      <c r="C228" s="276"/>
    </row>
    <row r="229" spans="1:3" hidden="1" x14ac:dyDescent="0.4">
      <c r="A229" s="276" t="s">
        <v>789</v>
      </c>
      <c r="B229" s="277" t="s">
        <v>820</v>
      </c>
      <c r="C229" s="276"/>
    </row>
    <row r="230" spans="1:3" hidden="1" x14ac:dyDescent="0.4">
      <c r="A230" s="276" t="s">
        <v>789</v>
      </c>
      <c r="B230" s="277" t="s">
        <v>821</v>
      </c>
      <c r="C230" s="276"/>
    </row>
    <row r="231" spans="1:3" hidden="1" x14ac:dyDescent="0.4">
      <c r="A231" s="276" t="s">
        <v>789</v>
      </c>
      <c r="B231" s="277" t="s">
        <v>822</v>
      </c>
      <c r="C231" s="276"/>
    </row>
    <row r="232" spans="1:3" hidden="1" x14ac:dyDescent="0.4">
      <c r="A232" s="276" t="s">
        <v>789</v>
      </c>
      <c r="B232" s="277" t="s">
        <v>823</v>
      </c>
      <c r="C232" s="276"/>
    </row>
    <row r="233" spans="1:3" hidden="1" x14ac:dyDescent="0.4">
      <c r="A233" s="276" t="s">
        <v>789</v>
      </c>
      <c r="B233" s="277" t="s">
        <v>824</v>
      </c>
      <c r="C233" s="276"/>
    </row>
    <row r="234" spans="1:3" hidden="1" x14ac:dyDescent="0.4">
      <c r="A234" s="276" t="s">
        <v>789</v>
      </c>
      <c r="B234" s="277" t="s">
        <v>825</v>
      </c>
      <c r="C234" s="276"/>
    </row>
    <row r="235" spans="1:3" hidden="1" x14ac:dyDescent="0.4">
      <c r="A235" s="276" t="s">
        <v>789</v>
      </c>
      <c r="B235" s="277" t="s">
        <v>826</v>
      </c>
      <c r="C235" s="276"/>
    </row>
    <row r="236" spans="1:3" hidden="1" x14ac:dyDescent="0.4">
      <c r="A236" s="276" t="s">
        <v>789</v>
      </c>
      <c r="B236" s="277" t="s">
        <v>827</v>
      </c>
      <c r="C236" s="276"/>
    </row>
    <row r="237" spans="1:3" hidden="1" x14ac:dyDescent="0.4">
      <c r="A237" s="276" t="s">
        <v>789</v>
      </c>
      <c r="B237" s="277" t="s">
        <v>828</v>
      </c>
      <c r="C237" s="276"/>
    </row>
    <row r="238" spans="1:3" hidden="1" x14ac:dyDescent="0.4">
      <c r="A238" s="276" t="s">
        <v>789</v>
      </c>
      <c r="B238" s="277" t="s">
        <v>829</v>
      </c>
      <c r="C238" s="276"/>
    </row>
    <row r="239" spans="1:3" hidden="1" x14ac:dyDescent="0.4">
      <c r="A239" s="276" t="s">
        <v>789</v>
      </c>
      <c r="B239" s="277" t="s">
        <v>830</v>
      </c>
      <c r="C239" s="276"/>
    </row>
    <row r="240" spans="1:3" hidden="1" x14ac:dyDescent="0.4">
      <c r="A240" s="276" t="s">
        <v>789</v>
      </c>
      <c r="B240" s="277" t="s">
        <v>831</v>
      </c>
      <c r="C240" s="276"/>
    </row>
    <row r="241" spans="1:3" hidden="1" x14ac:dyDescent="0.4">
      <c r="A241" s="276" t="s">
        <v>789</v>
      </c>
      <c r="B241" s="277" t="s">
        <v>832</v>
      </c>
      <c r="C241" s="276"/>
    </row>
    <row r="242" spans="1:3" hidden="1" x14ac:dyDescent="0.4">
      <c r="A242" s="276" t="s">
        <v>789</v>
      </c>
      <c r="B242" s="277" t="s">
        <v>833</v>
      </c>
      <c r="C242" s="276"/>
    </row>
    <row r="243" spans="1:3" hidden="1" x14ac:dyDescent="0.4">
      <c r="A243" s="276" t="s">
        <v>789</v>
      </c>
      <c r="B243" s="277" t="s">
        <v>834</v>
      </c>
      <c r="C243" s="276"/>
    </row>
    <row r="244" spans="1:3" hidden="1" x14ac:dyDescent="0.4">
      <c r="A244" s="276" t="s">
        <v>789</v>
      </c>
      <c r="B244" s="277" t="s">
        <v>835</v>
      </c>
      <c r="C244" s="276"/>
    </row>
    <row r="245" spans="1:3" hidden="1" x14ac:dyDescent="0.4">
      <c r="A245" s="276" t="s">
        <v>789</v>
      </c>
      <c r="B245" s="277" t="s">
        <v>836</v>
      </c>
      <c r="C245" s="276"/>
    </row>
    <row r="246" spans="1:3" hidden="1" x14ac:dyDescent="0.4">
      <c r="A246" s="276" t="s">
        <v>789</v>
      </c>
      <c r="B246" s="277" t="s">
        <v>837</v>
      </c>
      <c r="C246" s="276"/>
    </row>
    <row r="247" spans="1:3" hidden="1" x14ac:dyDescent="0.4">
      <c r="A247" s="276" t="s">
        <v>789</v>
      </c>
      <c r="B247" s="277" t="s">
        <v>838</v>
      </c>
      <c r="C247" s="276"/>
    </row>
    <row r="248" spans="1:3" hidden="1" x14ac:dyDescent="0.4">
      <c r="A248" s="276" t="s">
        <v>789</v>
      </c>
      <c r="B248" s="277" t="s">
        <v>839</v>
      </c>
      <c r="C248" s="276"/>
    </row>
    <row r="249" spans="1:3" hidden="1" x14ac:dyDescent="0.4">
      <c r="A249" s="276" t="s">
        <v>789</v>
      </c>
      <c r="B249" s="277" t="s">
        <v>840</v>
      </c>
      <c r="C249" s="276"/>
    </row>
    <row r="250" spans="1:3" hidden="1" x14ac:dyDescent="0.4">
      <c r="A250" s="276" t="s">
        <v>789</v>
      </c>
      <c r="B250" s="277" t="s">
        <v>841</v>
      </c>
      <c r="C250" s="276"/>
    </row>
    <row r="251" spans="1:3" hidden="1" x14ac:dyDescent="0.4">
      <c r="A251" s="276" t="s">
        <v>789</v>
      </c>
      <c r="B251" s="277" t="s">
        <v>842</v>
      </c>
      <c r="C251" s="276"/>
    </row>
    <row r="252" spans="1:3" hidden="1" x14ac:dyDescent="0.4">
      <c r="A252" s="276" t="s">
        <v>789</v>
      </c>
      <c r="B252" s="277" t="s">
        <v>843</v>
      </c>
      <c r="C252" s="276"/>
    </row>
    <row r="253" spans="1:3" hidden="1" x14ac:dyDescent="0.4">
      <c r="A253" s="276" t="s">
        <v>789</v>
      </c>
      <c r="B253" s="277" t="s">
        <v>844</v>
      </c>
      <c r="C253" s="276"/>
    </row>
    <row r="254" spans="1:3" hidden="1" x14ac:dyDescent="0.4">
      <c r="A254" s="276" t="s">
        <v>789</v>
      </c>
      <c r="B254" s="277" t="s">
        <v>845</v>
      </c>
      <c r="C254" s="276"/>
    </row>
    <row r="255" spans="1:3" hidden="1" x14ac:dyDescent="0.4">
      <c r="A255" s="276" t="s">
        <v>789</v>
      </c>
      <c r="B255" s="277" t="s">
        <v>846</v>
      </c>
      <c r="C255" s="276"/>
    </row>
    <row r="256" spans="1:3" hidden="1" x14ac:dyDescent="0.4">
      <c r="A256" s="276" t="s">
        <v>789</v>
      </c>
      <c r="B256" s="277" t="s">
        <v>847</v>
      </c>
      <c r="C256" s="276"/>
    </row>
    <row r="257" spans="1:3" hidden="1" x14ac:dyDescent="0.4">
      <c r="A257" s="276" t="s">
        <v>789</v>
      </c>
      <c r="B257" s="277" t="s">
        <v>848</v>
      </c>
      <c r="C257" s="276"/>
    </row>
    <row r="258" spans="1:3" hidden="1" x14ac:dyDescent="0.4">
      <c r="A258" s="276" t="s">
        <v>789</v>
      </c>
      <c r="B258" s="277" t="s">
        <v>849</v>
      </c>
      <c r="C258" s="276"/>
    </row>
    <row r="259" spans="1:3" hidden="1" x14ac:dyDescent="0.4">
      <c r="A259" s="276" t="s">
        <v>789</v>
      </c>
      <c r="B259" s="277" t="s">
        <v>850</v>
      </c>
      <c r="C259" s="276"/>
    </row>
    <row r="260" spans="1:3" hidden="1" x14ac:dyDescent="0.4">
      <c r="A260" s="276" t="s">
        <v>789</v>
      </c>
      <c r="B260" s="277" t="s">
        <v>851</v>
      </c>
      <c r="C260" s="276"/>
    </row>
    <row r="261" spans="1:3" hidden="1" x14ac:dyDescent="0.4">
      <c r="A261" s="276" t="s">
        <v>789</v>
      </c>
      <c r="B261" s="277" t="s">
        <v>852</v>
      </c>
      <c r="C261" s="276"/>
    </row>
    <row r="262" spans="1:3" hidden="1" x14ac:dyDescent="0.4">
      <c r="A262" s="276" t="s">
        <v>789</v>
      </c>
      <c r="B262" s="277" t="s">
        <v>853</v>
      </c>
      <c r="C262" s="276"/>
    </row>
    <row r="263" spans="1:3" hidden="1" x14ac:dyDescent="0.4">
      <c r="A263" s="276" t="s">
        <v>789</v>
      </c>
      <c r="B263" s="277" t="s">
        <v>854</v>
      </c>
      <c r="C263" s="276"/>
    </row>
    <row r="264" spans="1:3" hidden="1" x14ac:dyDescent="0.4">
      <c r="A264" s="276" t="s">
        <v>789</v>
      </c>
      <c r="B264" s="277" t="s">
        <v>855</v>
      </c>
      <c r="C264" s="276"/>
    </row>
    <row r="265" spans="1:3" hidden="1" x14ac:dyDescent="0.4">
      <c r="A265" s="276" t="s">
        <v>789</v>
      </c>
      <c r="B265" s="277" t="s">
        <v>856</v>
      </c>
      <c r="C265" s="276"/>
    </row>
    <row r="266" spans="1:3" hidden="1" x14ac:dyDescent="0.4">
      <c r="A266" s="276" t="s">
        <v>789</v>
      </c>
      <c r="B266" s="277" t="s">
        <v>857</v>
      </c>
      <c r="C266" s="276"/>
    </row>
    <row r="267" spans="1:3" hidden="1" x14ac:dyDescent="0.4">
      <c r="A267" s="276" t="s">
        <v>789</v>
      </c>
      <c r="B267" s="277" t="s">
        <v>858</v>
      </c>
      <c r="C267" s="276"/>
    </row>
    <row r="268" spans="1:3" hidden="1" x14ac:dyDescent="0.4">
      <c r="A268" s="276" t="s">
        <v>789</v>
      </c>
      <c r="B268" s="277" t="s">
        <v>859</v>
      </c>
      <c r="C268" s="276"/>
    </row>
    <row r="269" spans="1:3" hidden="1" x14ac:dyDescent="0.4">
      <c r="A269" s="276" t="s">
        <v>789</v>
      </c>
      <c r="B269" s="277" t="s">
        <v>860</v>
      </c>
      <c r="C269" s="276"/>
    </row>
    <row r="270" spans="1:3" hidden="1" x14ac:dyDescent="0.4">
      <c r="A270" s="276" t="s">
        <v>789</v>
      </c>
      <c r="B270" s="277" t="s">
        <v>861</v>
      </c>
      <c r="C270" s="276"/>
    </row>
    <row r="271" spans="1:3" hidden="1" x14ac:dyDescent="0.4">
      <c r="A271" s="276" t="s">
        <v>789</v>
      </c>
      <c r="B271" s="277" t="s">
        <v>862</v>
      </c>
      <c r="C271" s="276"/>
    </row>
    <row r="272" spans="1:3" hidden="1" x14ac:dyDescent="0.4">
      <c r="A272" s="276" t="s">
        <v>789</v>
      </c>
      <c r="B272" s="277" t="s">
        <v>863</v>
      </c>
      <c r="C272" s="276"/>
    </row>
    <row r="273" spans="1:3" hidden="1" x14ac:dyDescent="0.4">
      <c r="A273" s="276" t="s">
        <v>789</v>
      </c>
      <c r="B273" s="277" t="s">
        <v>864</v>
      </c>
      <c r="C273" s="276"/>
    </row>
    <row r="274" spans="1:3" hidden="1" x14ac:dyDescent="0.4">
      <c r="A274" s="276" t="s">
        <v>789</v>
      </c>
      <c r="B274" s="277" t="s">
        <v>865</v>
      </c>
      <c r="C274" s="276"/>
    </row>
    <row r="275" spans="1:3" hidden="1" x14ac:dyDescent="0.4">
      <c r="A275" s="276" t="s">
        <v>789</v>
      </c>
      <c r="B275" s="277" t="s">
        <v>866</v>
      </c>
      <c r="C275" s="276"/>
    </row>
    <row r="276" spans="1:3" hidden="1" x14ac:dyDescent="0.4">
      <c r="A276" s="276" t="s">
        <v>789</v>
      </c>
      <c r="B276" s="277" t="s">
        <v>867</v>
      </c>
      <c r="C276" s="276"/>
    </row>
    <row r="277" spans="1:3" hidden="1" x14ac:dyDescent="0.4">
      <c r="A277" s="276" t="s">
        <v>789</v>
      </c>
      <c r="B277" s="277" t="s">
        <v>868</v>
      </c>
      <c r="C277" s="276"/>
    </row>
    <row r="278" spans="1:3" hidden="1" x14ac:dyDescent="0.4">
      <c r="A278" s="276" t="s">
        <v>789</v>
      </c>
      <c r="B278" s="277" t="s">
        <v>869</v>
      </c>
      <c r="C278" s="276"/>
    </row>
    <row r="279" spans="1:3" hidden="1" x14ac:dyDescent="0.4">
      <c r="A279" s="276" t="s">
        <v>789</v>
      </c>
      <c r="B279" s="277" t="s">
        <v>870</v>
      </c>
      <c r="C279" s="276"/>
    </row>
    <row r="280" spans="1:3" hidden="1" x14ac:dyDescent="0.4">
      <c r="A280" s="276" t="s">
        <v>789</v>
      </c>
      <c r="B280" s="277" t="s">
        <v>871</v>
      </c>
      <c r="C280" s="276"/>
    </row>
    <row r="281" spans="1:3" hidden="1" x14ac:dyDescent="0.4">
      <c r="A281" s="276" t="s">
        <v>789</v>
      </c>
      <c r="B281" s="277" t="s">
        <v>872</v>
      </c>
      <c r="C281" s="276"/>
    </row>
    <row r="282" spans="1:3" hidden="1" x14ac:dyDescent="0.4">
      <c r="A282" s="276" t="s">
        <v>789</v>
      </c>
      <c r="B282" s="277" t="s">
        <v>873</v>
      </c>
      <c r="C282" s="276"/>
    </row>
    <row r="283" spans="1:3" hidden="1" x14ac:dyDescent="0.4">
      <c r="A283" s="276" t="s">
        <v>789</v>
      </c>
      <c r="B283" s="277" t="s">
        <v>874</v>
      </c>
      <c r="C283" s="276"/>
    </row>
    <row r="284" spans="1:3" hidden="1" x14ac:dyDescent="0.4">
      <c r="A284" s="276" t="s">
        <v>789</v>
      </c>
      <c r="B284" s="277" t="s">
        <v>875</v>
      </c>
      <c r="C284" s="276"/>
    </row>
    <row r="285" spans="1:3" hidden="1" x14ac:dyDescent="0.4">
      <c r="A285" s="276" t="s">
        <v>789</v>
      </c>
      <c r="B285" s="277" t="s">
        <v>876</v>
      </c>
      <c r="C285" s="276"/>
    </row>
    <row r="286" spans="1:3" hidden="1" x14ac:dyDescent="0.4">
      <c r="A286" s="276" t="s">
        <v>789</v>
      </c>
      <c r="B286" s="277" t="s">
        <v>877</v>
      </c>
      <c r="C286" s="276"/>
    </row>
    <row r="287" spans="1:3" hidden="1" x14ac:dyDescent="0.4">
      <c r="A287" s="276" t="s">
        <v>789</v>
      </c>
      <c r="B287" s="277" t="s">
        <v>878</v>
      </c>
      <c r="C287" s="276"/>
    </row>
    <row r="288" spans="1:3" hidden="1" x14ac:dyDescent="0.4">
      <c r="A288" s="276" t="s">
        <v>789</v>
      </c>
      <c r="B288" s="277" t="s">
        <v>879</v>
      </c>
      <c r="C288" s="276"/>
    </row>
    <row r="289" spans="1:3" hidden="1" x14ac:dyDescent="0.4">
      <c r="A289" s="276" t="s">
        <v>789</v>
      </c>
      <c r="B289" s="277" t="s">
        <v>880</v>
      </c>
      <c r="C289" s="276"/>
    </row>
    <row r="290" spans="1:3" hidden="1" x14ac:dyDescent="0.4">
      <c r="A290" s="276" t="s">
        <v>789</v>
      </c>
      <c r="B290" s="277" t="s">
        <v>881</v>
      </c>
      <c r="C290" s="276"/>
    </row>
    <row r="291" spans="1:3" hidden="1" x14ac:dyDescent="0.4">
      <c r="A291" s="276" t="s">
        <v>789</v>
      </c>
      <c r="B291" s="277" t="s">
        <v>882</v>
      </c>
      <c r="C291" s="276"/>
    </row>
    <row r="292" spans="1:3" hidden="1" x14ac:dyDescent="0.4">
      <c r="A292" s="276" t="s">
        <v>789</v>
      </c>
      <c r="B292" s="277" t="s">
        <v>883</v>
      </c>
      <c r="C292" s="276"/>
    </row>
    <row r="293" spans="1:3" hidden="1" x14ac:dyDescent="0.4">
      <c r="A293" s="276" t="s">
        <v>789</v>
      </c>
      <c r="B293" s="277" t="s">
        <v>884</v>
      </c>
      <c r="C293" s="276"/>
    </row>
    <row r="294" spans="1:3" hidden="1" x14ac:dyDescent="0.4">
      <c r="A294" s="276" t="s">
        <v>789</v>
      </c>
      <c r="B294" s="277" t="s">
        <v>885</v>
      </c>
      <c r="C294" s="276"/>
    </row>
    <row r="295" spans="1:3" hidden="1" x14ac:dyDescent="0.4">
      <c r="A295" s="276" t="s">
        <v>789</v>
      </c>
      <c r="B295" s="277" t="s">
        <v>886</v>
      </c>
      <c r="C295" s="276"/>
    </row>
    <row r="296" spans="1:3" hidden="1" x14ac:dyDescent="0.4">
      <c r="A296" s="276" t="s">
        <v>789</v>
      </c>
      <c r="B296" s="277" t="s">
        <v>887</v>
      </c>
      <c r="C296" s="276"/>
    </row>
    <row r="297" spans="1:3" hidden="1" x14ac:dyDescent="0.4">
      <c r="A297" s="276" t="s">
        <v>789</v>
      </c>
      <c r="B297" s="277" t="s">
        <v>888</v>
      </c>
      <c r="C297" s="276"/>
    </row>
    <row r="298" spans="1:3" hidden="1" x14ac:dyDescent="0.4">
      <c r="A298" s="276" t="s">
        <v>789</v>
      </c>
      <c r="B298" s="277" t="s">
        <v>889</v>
      </c>
      <c r="C298" s="276"/>
    </row>
    <row r="299" spans="1:3" hidden="1" x14ac:dyDescent="0.4">
      <c r="A299" s="276" t="s">
        <v>789</v>
      </c>
      <c r="B299" s="277" t="s">
        <v>890</v>
      </c>
      <c r="C299" s="276"/>
    </row>
    <row r="300" spans="1:3" hidden="1" x14ac:dyDescent="0.4">
      <c r="A300" s="276" t="s">
        <v>789</v>
      </c>
      <c r="B300" s="277" t="s">
        <v>891</v>
      </c>
      <c r="C300" s="276"/>
    </row>
    <row r="301" spans="1:3" hidden="1" x14ac:dyDescent="0.4">
      <c r="A301" s="276" t="s">
        <v>789</v>
      </c>
      <c r="B301" s="277" t="s">
        <v>892</v>
      </c>
      <c r="C301" s="276"/>
    </row>
    <row r="302" spans="1:3" hidden="1" x14ac:dyDescent="0.4">
      <c r="A302" s="276" t="s">
        <v>789</v>
      </c>
      <c r="B302" s="277" t="s">
        <v>893</v>
      </c>
      <c r="C302" s="276"/>
    </row>
    <row r="303" spans="1:3" hidden="1" x14ac:dyDescent="0.4">
      <c r="A303" s="276" t="s">
        <v>789</v>
      </c>
      <c r="B303" s="277" t="s">
        <v>894</v>
      </c>
      <c r="C303" s="276"/>
    </row>
    <row r="304" spans="1:3" hidden="1" x14ac:dyDescent="0.4">
      <c r="A304" s="276" t="s">
        <v>789</v>
      </c>
      <c r="B304" s="277" t="s">
        <v>895</v>
      </c>
      <c r="C304" s="276"/>
    </row>
    <row r="305" spans="1:3" hidden="1" x14ac:dyDescent="0.4">
      <c r="A305" s="276" t="s">
        <v>789</v>
      </c>
      <c r="B305" s="277" t="s">
        <v>896</v>
      </c>
      <c r="C305" s="276"/>
    </row>
    <row r="306" spans="1:3" hidden="1" x14ac:dyDescent="0.4">
      <c r="A306" s="276" t="s">
        <v>789</v>
      </c>
      <c r="B306" s="277" t="s">
        <v>897</v>
      </c>
      <c r="C306" s="276"/>
    </row>
    <row r="307" spans="1:3" hidden="1" x14ac:dyDescent="0.4">
      <c r="A307" s="276" t="s">
        <v>789</v>
      </c>
      <c r="B307" s="277" t="s">
        <v>898</v>
      </c>
      <c r="C307" s="276"/>
    </row>
    <row r="308" spans="1:3" hidden="1" x14ac:dyDescent="0.4">
      <c r="A308" s="276" t="s">
        <v>789</v>
      </c>
      <c r="B308" s="277" t="s">
        <v>899</v>
      </c>
      <c r="C308" s="276"/>
    </row>
    <row r="309" spans="1:3" hidden="1" x14ac:dyDescent="0.4">
      <c r="A309" s="276" t="s">
        <v>789</v>
      </c>
      <c r="B309" s="277" t="s">
        <v>900</v>
      </c>
      <c r="C309" s="276"/>
    </row>
    <row r="310" spans="1:3" hidden="1" x14ac:dyDescent="0.4">
      <c r="A310" s="276" t="s">
        <v>789</v>
      </c>
      <c r="B310" s="277" t="s">
        <v>901</v>
      </c>
      <c r="C310" s="276"/>
    </row>
    <row r="311" spans="1:3" hidden="1" x14ac:dyDescent="0.4">
      <c r="A311" s="276" t="s">
        <v>789</v>
      </c>
      <c r="B311" s="277" t="s">
        <v>902</v>
      </c>
      <c r="C311" s="276"/>
    </row>
    <row r="312" spans="1:3" hidden="1" x14ac:dyDescent="0.4">
      <c r="A312" s="276" t="s">
        <v>789</v>
      </c>
      <c r="B312" s="277" t="s">
        <v>903</v>
      </c>
      <c r="C312" s="276"/>
    </row>
    <row r="313" spans="1:3" hidden="1" x14ac:dyDescent="0.4">
      <c r="A313" s="276" t="s">
        <v>789</v>
      </c>
      <c r="B313" s="277" t="s">
        <v>904</v>
      </c>
      <c r="C313" s="276"/>
    </row>
    <row r="314" spans="1:3" hidden="1" x14ac:dyDescent="0.4">
      <c r="A314" s="276" t="s">
        <v>789</v>
      </c>
      <c r="B314" s="277" t="s">
        <v>905</v>
      </c>
      <c r="C314" s="276"/>
    </row>
    <row r="315" spans="1:3" hidden="1" x14ac:dyDescent="0.4">
      <c r="A315" s="276" t="s">
        <v>789</v>
      </c>
      <c r="B315" s="277" t="s">
        <v>906</v>
      </c>
      <c r="C315" s="276"/>
    </row>
    <row r="316" spans="1:3" hidden="1" x14ac:dyDescent="0.4">
      <c r="A316" s="276" t="s">
        <v>789</v>
      </c>
      <c r="B316" s="277" t="s">
        <v>907</v>
      </c>
      <c r="C316" s="276"/>
    </row>
    <row r="317" spans="1:3" hidden="1" x14ac:dyDescent="0.4">
      <c r="A317" s="276" t="s">
        <v>789</v>
      </c>
      <c r="B317" s="277" t="s">
        <v>908</v>
      </c>
      <c r="C317" s="276"/>
    </row>
    <row r="318" spans="1:3" hidden="1" x14ac:dyDescent="0.4">
      <c r="A318" s="276" t="s">
        <v>789</v>
      </c>
      <c r="B318" s="277" t="s">
        <v>909</v>
      </c>
      <c r="C318" s="276"/>
    </row>
    <row r="319" spans="1:3" hidden="1" x14ac:dyDescent="0.4">
      <c r="A319" s="276" t="s">
        <v>789</v>
      </c>
      <c r="B319" s="277" t="s">
        <v>910</v>
      </c>
      <c r="C319" s="276"/>
    </row>
    <row r="320" spans="1:3" hidden="1" x14ac:dyDescent="0.4">
      <c r="A320" s="276" t="s">
        <v>789</v>
      </c>
      <c r="B320" s="277" t="s">
        <v>911</v>
      </c>
      <c r="C320" s="276"/>
    </row>
    <row r="321" spans="1:3" hidden="1" x14ac:dyDescent="0.4">
      <c r="A321" s="276" t="s">
        <v>789</v>
      </c>
      <c r="B321" s="277" t="s">
        <v>912</v>
      </c>
      <c r="C321" s="276"/>
    </row>
    <row r="322" spans="1:3" hidden="1" x14ac:dyDescent="0.4">
      <c r="A322" s="276" t="s">
        <v>789</v>
      </c>
      <c r="B322" s="277" t="s">
        <v>913</v>
      </c>
      <c r="C322" s="276"/>
    </row>
    <row r="323" spans="1:3" hidden="1" x14ac:dyDescent="0.4">
      <c r="A323" s="276" t="s">
        <v>789</v>
      </c>
      <c r="B323" s="277" t="s">
        <v>914</v>
      </c>
      <c r="C323" s="276"/>
    </row>
    <row r="324" spans="1:3" hidden="1" x14ac:dyDescent="0.4">
      <c r="A324" s="276" t="s">
        <v>789</v>
      </c>
      <c r="B324" s="277" t="s">
        <v>915</v>
      </c>
      <c r="C324" s="276"/>
    </row>
    <row r="325" spans="1:3" hidden="1" x14ac:dyDescent="0.4">
      <c r="A325" s="276" t="s">
        <v>789</v>
      </c>
      <c r="B325" s="277" t="s">
        <v>916</v>
      </c>
      <c r="C325" s="276"/>
    </row>
    <row r="326" spans="1:3" hidden="1" x14ac:dyDescent="0.4">
      <c r="A326" s="276" t="s">
        <v>789</v>
      </c>
      <c r="B326" s="277" t="s">
        <v>917</v>
      </c>
      <c r="C326" s="276"/>
    </row>
    <row r="327" spans="1:3" hidden="1" x14ac:dyDescent="0.4">
      <c r="A327" s="276" t="s">
        <v>789</v>
      </c>
      <c r="B327" s="277" t="s">
        <v>918</v>
      </c>
      <c r="C327" s="276"/>
    </row>
    <row r="328" spans="1:3" hidden="1" x14ac:dyDescent="0.4">
      <c r="A328" s="276" t="s">
        <v>789</v>
      </c>
      <c r="B328" s="277" t="s">
        <v>919</v>
      </c>
      <c r="C328" s="276"/>
    </row>
    <row r="329" spans="1:3" hidden="1" x14ac:dyDescent="0.4">
      <c r="A329" s="276" t="s">
        <v>789</v>
      </c>
      <c r="B329" s="277" t="s">
        <v>920</v>
      </c>
      <c r="C329" s="276"/>
    </row>
    <row r="330" spans="1:3" hidden="1" x14ac:dyDescent="0.4">
      <c r="A330" s="276" t="s">
        <v>789</v>
      </c>
      <c r="B330" s="277" t="s">
        <v>921</v>
      </c>
      <c r="C330" s="276"/>
    </row>
    <row r="331" spans="1:3" hidden="1" x14ac:dyDescent="0.4">
      <c r="A331" s="276" t="s">
        <v>789</v>
      </c>
      <c r="B331" s="277" t="s">
        <v>922</v>
      </c>
      <c r="C331" s="276"/>
    </row>
    <row r="332" spans="1:3" hidden="1" x14ac:dyDescent="0.4">
      <c r="A332" s="276" t="s">
        <v>789</v>
      </c>
      <c r="B332" s="277" t="s">
        <v>923</v>
      </c>
      <c r="C332" s="276"/>
    </row>
    <row r="333" spans="1:3" hidden="1" x14ac:dyDescent="0.4">
      <c r="A333" s="276" t="s">
        <v>789</v>
      </c>
      <c r="B333" s="277" t="s">
        <v>924</v>
      </c>
      <c r="C333" s="276"/>
    </row>
    <row r="334" spans="1:3" hidden="1" x14ac:dyDescent="0.4">
      <c r="A334" s="276" t="s">
        <v>789</v>
      </c>
      <c r="B334" s="277" t="s">
        <v>925</v>
      </c>
      <c r="C334" s="276"/>
    </row>
    <row r="335" spans="1:3" hidden="1" x14ac:dyDescent="0.4">
      <c r="A335" s="276" t="s">
        <v>789</v>
      </c>
      <c r="B335" s="277" t="s">
        <v>926</v>
      </c>
      <c r="C335" s="276"/>
    </row>
    <row r="336" spans="1:3" hidden="1" x14ac:dyDescent="0.4">
      <c r="A336" s="276" t="s">
        <v>789</v>
      </c>
      <c r="B336" s="277" t="s">
        <v>927</v>
      </c>
      <c r="C336" s="276"/>
    </row>
    <row r="337" spans="1:3" hidden="1" x14ac:dyDescent="0.4">
      <c r="A337" s="276" t="s">
        <v>789</v>
      </c>
      <c r="B337" s="277" t="s">
        <v>928</v>
      </c>
      <c r="C337" s="276"/>
    </row>
    <row r="338" spans="1:3" hidden="1" x14ac:dyDescent="0.4">
      <c r="A338" s="276" t="s">
        <v>789</v>
      </c>
      <c r="B338" s="277" t="s">
        <v>929</v>
      </c>
      <c r="C338" s="276"/>
    </row>
    <row r="339" spans="1:3" hidden="1" x14ac:dyDescent="0.4">
      <c r="A339" s="276" t="s">
        <v>789</v>
      </c>
      <c r="B339" s="277" t="s">
        <v>930</v>
      </c>
      <c r="C339" s="276"/>
    </row>
    <row r="340" spans="1:3" hidden="1" x14ac:dyDescent="0.4">
      <c r="A340" s="276" t="s">
        <v>789</v>
      </c>
      <c r="B340" s="277" t="s">
        <v>931</v>
      </c>
      <c r="C340" s="276"/>
    </row>
    <row r="341" spans="1:3" hidden="1" x14ac:dyDescent="0.4">
      <c r="A341" s="276" t="s">
        <v>789</v>
      </c>
      <c r="B341" s="277" t="s">
        <v>932</v>
      </c>
      <c r="C341" s="276"/>
    </row>
    <row r="342" spans="1:3" hidden="1" x14ac:dyDescent="0.4">
      <c r="A342" s="276" t="s">
        <v>789</v>
      </c>
      <c r="B342" s="277" t="s">
        <v>933</v>
      </c>
      <c r="C342" s="276"/>
    </row>
    <row r="343" spans="1:3" hidden="1" x14ac:dyDescent="0.4">
      <c r="A343" s="276" t="s">
        <v>789</v>
      </c>
      <c r="B343" s="277" t="s">
        <v>934</v>
      </c>
      <c r="C343" s="276"/>
    </row>
    <row r="344" spans="1:3" hidden="1" x14ac:dyDescent="0.4">
      <c r="A344" s="276" t="s">
        <v>789</v>
      </c>
      <c r="B344" s="277" t="s">
        <v>935</v>
      </c>
      <c r="C344" s="276"/>
    </row>
    <row r="345" spans="1:3" hidden="1" x14ac:dyDescent="0.4">
      <c r="A345" s="276" t="s">
        <v>789</v>
      </c>
      <c r="B345" s="277" t="s">
        <v>936</v>
      </c>
      <c r="C345" s="276"/>
    </row>
    <row r="346" spans="1:3" hidden="1" x14ac:dyDescent="0.4">
      <c r="A346" s="276" t="s">
        <v>789</v>
      </c>
      <c r="B346" s="277" t="s">
        <v>937</v>
      </c>
      <c r="C346" s="276"/>
    </row>
    <row r="347" spans="1:3" hidden="1" x14ac:dyDescent="0.4">
      <c r="A347" s="276" t="s">
        <v>789</v>
      </c>
      <c r="B347" s="277" t="s">
        <v>938</v>
      </c>
      <c r="C347" s="276"/>
    </row>
    <row r="348" spans="1:3" hidden="1" x14ac:dyDescent="0.4">
      <c r="A348" s="276" t="s">
        <v>789</v>
      </c>
      <c r="B348" s="277" t="s">
        <v>939</v>
      </c>
      <c r="C348" s="276"/>
    </row>
    <row r="349" spans="1:3" hidden="1" x14ac:dyDescent="0.4">
      <c r="A349" s="276" t="s">
        <v>789</v>
      </c>
      <c r="B349" s="277" t="s">
        <v>940</v>
      </c>
      <c r="C349" s="276"/>
    </row>
    <row r="350" spans="1:3" hidden="1" x14ac:dyDescent="0.4">
      <c r="A350" s="276" t="s">
        <v>789</v>
      </c>
      <c r="B350" s="277" t="s">
        <v>941</v>
      </c>
      <c r="C350" s="276"/>
    </row>
    <row r="351" spans="1:3" hidden="1" x14ac:dyDescent="0.4">
      <c r="A351" s="276" t="s">
        <v>789</v>
      </c>
      <c r="B351" s="277" t="s">
        <v>942</v>
      </c>
      <c r="C351" s="276"/>
    </row>
    <row r="352" spans="1:3" hidden="1" x14ac:dyDescent="0.4">
      <c r="A352" s="276" t="s">
        <v>789</v>
      </c>
      <c r="B352" s="277" t="s">
        <v>943</v>
      </c>
      <c r="C352" s="276"/>
    </row>
    <row r="353" spans="1:3" hidden="1" x14ac:dyDescent="0.4">
      <c r="A353" s="276" t="s">
        <v>789</v>
      </c>
      <c r="B353" s="277" t="s">
        <v>944</v>
      </c>
      <c r="C353" s="276"/>
    </row>
    <row r="354" spans="1:3" hidden="1" x14ac:dyDescent="0.4">
      <c r="A354" s="276" t="s">
        <v>789</v>
      </c>
      <c r="B354" s="277" t="s">
        <v>945</v>
      </c>
      <c r="C354" s="276"/>
    </row>
    <row r="355" spans="1:3" hidden="1" x14ac:dyDescent="0.4">
      <c r="A355" s="276" t="s">
        <v>789</v>
      </c>
      <c r="B355" s="277" t="s">
        <v>946</v>
      </c>
      <c r="C355" s="276"/>
    </row>
    <row r="356" spans="1:3" hidden="1" x14ac:dyDescent="0.4">
      <c r="A356" s="276" t="s">
        <v>789</v>
      </c>
      <c r="B356" s="277" t="s">
        <v>947</v>
      </c>
      <c r="C356" s="276"/>
    </row>
    <row r="357" spans="1:3" hidden="1" x14ac:dyDescent="0.4">
      <c r="A357" s="276" t="s">
        <v>789</v>
      </c>
      <c r="B357" s="277" t="s">
        <v>948</v>
      </c>
      <c r="C357" s="276"/>
    </row>
    <row r="358" spans="1:3" hidden="1" x14ac:dyDescent="0.4">
      <c r="A358" s="276" t="s">
        <v>789</v>
      </c>
      <c r="B358" s="277" t="s">
        <v>949</v>
      </c>
      <c r="C358" s="276"/>
    </row>
    <row r="359" spans="1:3" hidden="1" x14ac:dyDescent="0.4">
      <c r="A359" s="276" t="s">
        <v>789</v>
      </c>
      <c r="B359" s="277" t="s">
        <v>950</v>
      </c>
      <c r="C359" s="276"/>
    </row>
    <row r="360" spans="1:3" hidden="1" x14ac:dyDescent="0.4">
      <c r="A360" s="276" t="s">
        <v>789</v>
      </c>
      <c r="B360" s="277" t="s">
        <v>951</v>
      </c>
      <c r="C360" s="276"/>
    </row>
    <row r="361" spans="1:3" hidden="1" x14ac:dyDescent="0.4">
      <c r="A361" s="276" t="s">
        <v>789</v>
      </c>
      <c r="B361" s="277" t="s">
        <v>952</v>
      </c>
      <c r="C361" s="276"/>
    </row>
    <row r="362" spans="1:3" hidden="1" x14ac:dyDescent="0.4">
      <c r="A362" s="276" t="s">
        <v>789</v>
      </c>
      <c r="B362" s="277" t="s">
        <v>953</v>
      </c>
      <c r="C362" s="276"/>
    </row>
    <row r="363" spans="1:3" hidden="1" x14ac:dyDescent="0.4">
      <c r="A363" s="276" t="s">
        <v>789</v>
      </c>
      <c r="B363" s="277" t="s">
        <v>954</v>
      </c>
      <c r="C363" s="276"/>
    </row>
    <row r="364" spans="1:3" hidden="1" x14ac:dyDescent="0.4">
      <c r="A364" s="276" t="s">
        <v>789</v>
      </c>
      <c r="B364" s="277" t="s">
        <v>955</v>
      </c>
      <c r="C364" s="276"/>
    </row>
    <row r="365" spans="1:3" hidden="1" x14ac:dyDescent="0.4">
      <c r="A365" s="276" t="s">
        <v>789</v>
      </c>
      <c r="B365" s="277" t="s">
        <v>956</v>
      </c>
      <c r="C365" s="276"/>
    </row>
    <row r="366" spans="1:3" hidden="1" x14ac:dyDescent="0.4">
      <c r="A366" s="276" t="s">
        <v>789</v>
      </c>
      <c r="B366" s="277" t="s">
        <v>957</v>
      </c>
      <c r="C366" s="276"/>
    </row>
    <row r="367" spans="1:3" hidden="1" x14ac:dyDescent="0.4">
      <c r="A367" s="276" t="s">
        <v>789</v>
      </c>
      <c r="B367" s="277" t="s">
        <v>958</v>
      </c>
      <c r="C367" s="276"/>
    </row>
    <row r="368" spans="1:3" hidden="1" x14ac:dyDescent="0.4">
      <c r="A368" s="276" t="s">
        <v>789</v>
      </c>
      <c r="B368" s="277" t="s">
        <v>959</v>
      </c>
      <c r="C368" s="276"/>
    </row>
    <row r="369" spans="1:3" hidden="1" x14ac:dyDescent="0.4">
      <c r="A369" s="276" t="s">
        <v>789</v>
      </c>
      <c r="B369" s="277" t="s">
        <v>960</v>
      </c>
      <c r="C369" s="276"/>
    </row>
    <row r="370" spans="1:3" hidden="1" x14ac:dyDescent="0.4">
      <c r="A370" s="276" t="s">
        <v>789</v>
      </c>
      <c r="B370" s="277" t="s">
        <v>961</v>
      </c>
      <c r="C370" s="276"/>
    </row>
    <row r="371" spans="1:3" hidden="1" x14ac:dyDescent="0.4">
      <c r="A371" s="276" t="s">
        <v>789</v>
      </c>
      <c r="B371" s="277" t="s">
        <v>962</v>
      </c>
      <c r="C371" s="276"/>
    </row>
    <row r="372" spans="1:3" hidden="1" x14ac:dyDescent="0.4">
      <c r="A372" s="276" t="s">
        <v>789</v>
      </c>
      <c r="B372" s="277" t="s">
        <v>963</v>
      </c>
      <c r="C372" s="276"/>
    </row>
    <row r="373" spans="1:3" hidden="1" x14ac:dyDescent="0.4">
      <c r="A373" s="276" t="s">
        <v>789</v>
      </c>
      <c r="B373" s="277" t="s">
        <v>964</v>
      </c>
      <c r="C373" s="276"/>
    </row>
    <row r="374" spans="1:3" hidden="1" x14ac:dyDescent="0.4">
      <c r="A374" s="276" t="s">
        <v>789</v>
      </c>
      <c r="B374" s="277" t="s">
        <v>965</v>
      </c>
      <c r="C374" s="276"/>
    </row>
    <row r="375" spans="1:3" hidden="1" x14ac:dyDescent="0.4">
      <c r="A375" s="276" t="s">
        <v>789</v>
      </c>
      <c r="B375" s="277" t="s">
        <v>966</v>
      </c>
      <c r="C375" s="276"/>
    </row>
    <row r="376" spans="1:3" hidden="1" x14ac:dyDescent="0.4">
      <c r="A376" s="276" t="s">
        <v>967</v>
      </c>
      <c r="B376" s="277" t="s">
        <v>646</v>
      </c>
      <c r="C376" s="276" t="s">
        <v>657</v>
      </c>
    </row>
    <row r="377" spans="1:3" hidden="1" x14ac:dyDescent="0.4">
      <c r="A377" s="276" t="s">
        <v>967</v>
      </c>
      <c r="B377" s="277" t="s">
        <v>644</v>
      </c>
      <c r="C377" s="276"/>
    </row>
    <row r="378" spans="1:3" hidden="1" x14ac:dyDescent="0.4">
      <c r="A378" s="276" t="s">
        <v>967</v>
      </c>
      <c r="B378" s="277" t="s">
        <v>968</v>
      </c>
      <c r="C378" s="276"/>
    </row>
    <row r="379" spans="1:3" hidden="1" x14ac:dyDescent="0.4">
      <c r="A379" s="276" t="s">
        <v>967</v>
      </c>
      <c r="B379" s="277" t="s">
        <v>969</v>
      </c>
      <c r="C379" s="276"/>
    </row>
    <row r="380" spans="1:3" hidden="1" x14ac:dyDescent="0.4">
      <c r="A380" s="276" t="s">
        <v>967</v>
      </c>
      <c r="B380" s="277" t="s">
        <v>970</v>
      </c>
      <c r="C380" s="276"/>
    </row>
    <row r="381" spans="1:3" hidden="1" x14ac:dyDescent="0.4">
      <c r="A381" s="276" t="s">
        <v>967</v>
      </c>
      <c r="B381" s="277" t="s">
        <v>971</v>
      </c>
      <c r="C381" s="276"/>
    </row>
    <row r="382" spans="1:3" hidden="1" x14ac:dyDescent="0.4">
      <c r="A382" s="276" t="s">
        <v>967</v>
      </c>
      <c r="B382" s="277" t="s">
        <v>972</v>
      </c>
      <c r="C382" s="276"/>
    </row>
    <row r="383" spans="1:3" hidden="1" x14ac:dyDescent="0.4">
      <c r="A383" s="276" t="s">
        <v>967</v>
      </c>
      <c r="B383" s="277" t="s">
        <v>973</v>
      </c>
      <c r="C383" s="276"/>
    </row>
    <row r="384" spans="1:3" hidden="1" x14ac:dyDescent="0.4">
      <c r="A384" s="276" t="s">
        <v>967</v>
      </c>
      <c r="B384" s="277" t="s">
        <v>974</v>
      </c>
      <c r="C384" s="276"/>
    </row>
    <row r="385" spans="1:3" hidden="1" x14ac:dyDescent="0.4">
      <c r="A385" s="276" t="s">
        <v>967</v>
      </c>
      <c r="B385" s="277" t="s">
        <v>975</v>
      </c>
      <c r="C385" s="276"/>
    </row>
    <row r="386" spans="1:3" hidden="1" x14ac:dyDescent="0.4">
      <c r="A386" s="276" t="s">
        <v>967</v>
      </c>
      <c r="B386" s="277" t="s">
        <v>976</v>
      </c>
      <c r="C386" s="276"/>
    </row>
    <row r="387" spans="1:3" hidden="1" x14ac:dyDescent="0.4">
      <c r="A387" s="276" t="s">
        <v>967</v>
      </c>
      <c r="B387" s="277" t="s">
        <v>977</v>
      </c>
      <c r="C387" s="276"/>
    </row>
    <row r="388" spans="1:3" hidden="1" x14ac:dyDescent="0.4">
      <c r="A388" s="276" t="s">
        <v>967</v>
      </c>
      <c r="B388" s="277" t="s">
        <v>978</v>
      </c>
      <c r="C388" s="276"/>
    </row>
    <row r="389" spans="1:3" hidden="1" x14ac:dyDescent="0.4">
      <c r="A389" s="276" t="s">
        <v>967</v>
      </c>
      <c r="B389" s="277" t="s">
        <v>979</v>
      </c>
      <c r="C389" s="276"/>
    </row>
    <row r="390" spans="1:3" hidden="1" x14ac:dyDescent="0.4">
      <c r="A390" s="276" t="s">
        <v>967</v>
      </c>
      <c r="B390" s="277" t="s">
        <v>980</v>
      </c>
      <c r="C390" s="276"/>
    </row>
    <row r="391" spans="1:3" hidden="1" x14ac:dyDescent="0.4">
      <c r="A391" s="276" t="s">
        <v>967</v>
      </c>
      <c r="B391" s="277" t="s">
        <v>981</v>
      </c>
      <c r="C391" s="276"/>
    </row>
    <row r="392" spans="1:3" hidden="1" x14ac:dyDescent="0.4">
      <c r="A392" s="276" t="s">
        <v>967</v>
      </c>
      <c r="B392" s="277" t="s">
        <v>982</v>
      </c>
      <c r="C392" s="276"/>
    </row>
    <row r="393" spans="1:3" hidden="1" x14ac:dyDescent="0.4">
      <c r="A393" s="276" t="s">
        <v>967</v>
      </c>
      <c r="B393" s="277" t="s">
        <v>983</v>
      </c>
      <c r="C393" s="276"/>
    </row>
    <row r="394" spans="1:3" hidden="1" x14ac:dyDescent="0.4">
      <c r="A394" s="276" t="s">
        <v>967</v>
      </c>
      <c r="B394" s="277" t="s">
        <v>775</v>
      </c>
      <c r="C394" s="276"/>
    </row>
    <row r="395" spans="1:3" hidden="1" x14ac:dyDescent="0.4">
      <c r="A395" s="276" t="s">
        <v>967</v>
      </c>
      <c r="B395" s="277" t="s">
        <v>776</v>
      </c>
      <c r="C395" s="276"/>
    </row>
    <row r="396" spans="1:3" hidden="1" x14ac:dyDescent="0.4">
      <c r="A396" s="276" t="s">
        <v>967</v>
      </c>
      <c r="B396" s="277" t="s">
        <v>984</v>
      </c>
      <c r="C396" s="276"/>
    </row>
    <row r="397" spans="1:3" hidden="1" x14ac:dyDescent="0.4">
      <c r="A397" s="276" t="s">
        <v>967</v>
      </c>
      <c r="B397" s="277" t="s">
        <v>985</v>
      </c>
      <c r="C397" s="276"/>
    </row>
    <row r="398" spans="1:3" hidden="1" x14ac:dyDescent="0.4">
      <c r="A398" s="276" t="s">
        <v>967</v>
      </c>
      <c r="B398" s="277" t="s">
        <v>986</v>
      </c>
      <c r="C398" s="276"/>
    </row>
    <row r="399" spans="1:3" hidden="1" x14ac:dyDescent="0.4">
      <c r="A399" s="276" t="s">
        <v>987</v>
      </c>
      <c r="B399" s="277" t="s">
        <v>646</v>
      </c>
      <c r="C399" s="276" t="s">
        <v>657</v>
      </c>
    </row>
    <row r="400" spans="1:3" hidden="1" x14ac:dyDescent="0.4">
      <c r="A400" s="276" t="s">
        <v>987</v>
      </c>
      <c r="B400" s="277" t="s">
        <v>644</v>
      </c>
      <c r="C400" s="276"/>
    </row>
    <row r="401" spans="1:3" hidden="1" x14ac:dyDescent="0.4">
      <c r="A401" s="276" t="s">
        <v>987</v>
      </c>
      <c r="B401" s="277" t="s">
        <v>726</v>
      </c>
      <c r="C401" s="276"/>
    </row>
    <row r="402" spans="1:3" hidden="1" x14ac:dyDescent="0.4">
      <c r="A402" s="276" t="s">
        <v>987</v>
      </c>
      <c r="B402" s="277" t="s">
        <v>733</v>
      </c>
      <c r="C402" s="276"/>
    </row>
    <row r="403" spans="1:3" hidden="1" x14ac:dyDescent="0.4">
      <c r="A403" s="276" t="s">
        <v>987</v>
      </c>
      <c r="B403" s="277" t="s">
        <v>988</v>
      </c>
      <c r="C403" s="276"/>
    </row>
    <row r="404" spans="1:3" hidden="1" x14ac:dyDescent="0.4">
      <c r="A404" s="276" t="s">
        <v>987</v>
      </c>
      <c r="B404" s="277" t="s">
        <v>989</v>
      </c>
      <c r="C404" s="276"/>
    </row>
    <row r="405" spans="1:3" hidden="1" x14ac:dyDescent="0.4">
      <c r="A405" s="276" t="s">
        <v>987</v>
      </c>
      <c r="B405" s="277" t="s">
        <v>990</v>
      </c>
      <c r="C405" s="276"/>
    </row>
    <row r="406" spans="1:3" hidden="1" x14ac:dyDescent="0.4">
      <c r="A406" s="276" t="s">
        <v>987</v>
      </c>
      <c r="B406" s="277" t="s">
        <v>991</v>
      </c>
      <c r="C406" s="276"/>
    </row>
    <row r="407" spans="1:3" hidden="1" x14ac:dyDescent="0.4">
      <c r="A407" s="276" t="s">
        <v>987</v>
      </c>
      <c r="B407" s="277" t="s">
        <v>992</v>
      </c>
      <c r="C407" s="276"/>
    </row>
    <row r="408" spans="1:3" hidden="1" x14ac:dyDescent="0.4">
      <c r="A408" s="276" t="s">
        <v>987</v>
      </c>
      <c r="B408" s="277" t="s">
        <v>993</v>
      </c>
      <c r="C408" s="276"/>
    </row>
    <row r="409" spans="1:3" hidden="1" x14ac:dyDescent="0.4">
      <c r="A409" s="276" t="s">
        <v>987</v>
      </c>
      <c r="B409" s="277" t="s">
        <v>994</v>
      </c>
      <c r="C409" s="276"/>
    </row>
    <row r="410" spans="1:3" hidden="1" x14ac:dyDescent="0.4">
      <c r="A410" s="276" t="s">
        <v>987</v>
      </c>
      <c r="B410" s="277" t="s">
        <v>995</v>
      </c>
      <c r="C410" s="276"/>
    </row>
    <row r="411" spans="1:3" hidden="1" x14ac:dyDescent="0.4">
      <c r="A411" s="276" t="s">
        <v>987</v>
      </c>
      <c r="B411" s="277" t="s">
        <v>996</v>
      </c>
      <c r="C411" s="276"/>
    </row>
    <row r="412" spans="1:3" hidden="1" x14ac:dyDescent="0.4">
      <c r="A412" s="276" t="s">
        <v>987</v>
      </c>
      <c r="B412" s="277" t="s">
        <v>997</v>
      </c>
      <c r="C412" s="276"/>
    </row>
    <row r="413" spans="1:3" hidden="1" x14ac:dyDescent="0.4">
      <c r="A413" s="276" t="s">
        <v>987</v>
      </c>
      <c r="B413" s="277" t="s">
        <v>998</v>
      </c>
      <c r="C413" s="276"/>
    </row>
    <row r="414" spans="1:3" hidden="1" x14ac:dyDescent="0.4">
      <c r="A414" s="276" t="s">
        <v>987</v>
      </c>
      <c r="B414" s="277" t="s">
        <v>999</v>
      </c>
      <c r="C414" s="276"/>
    </row>
    <row r="415" spans="1:3" hidden="1" x14ac:dyDescent="0.4">
      <c r="A415" s="276" t="s">
        <v>987</v>
      </c>
      <c r="B415" s="277" t="s">
        <v>1000</v>
      </c>
      <c r="C415" s="276"/>
    </row>
    <row r="416" spans="1:3" hidden="1" x14ac:dyDescent="0.4">
      <c r="A416" s="276" t="s">
        <v>987</v>
      </c>
      <c r="B416" s="277" t="s">
        <v>1001</v>
      </c>
      <c r="C416" s="276"/>
    </row>
    <row r="417" spans="1:3" hidden="1" x14ac:dyDescent="0.4">
      <c r="A417" s="276" t="s">
        <v>987</v>
      </c>
      <c r="B417" s="277" t="s">
        <v>1002</v>
      </c>
      <c r="C417" s="276"/>
    </row>
    <row r="418" spans="1:3" hidden="1" x14ac:dyDescent="0.4">
      <c r="A418" s="276" t="s">
        <v>987</v>
      </c>
      <c r="B418" s="277" t="s">
        <v>1003</v>
      </c>
      <c r="C418" s="276"/>
    </row>
    <row r="419" spans="1:3" hidden="1" x14ac:dyDescent="0.4">
      <c r="A419" s="276" t="s">
        <v>987</v>
      </c>
      <c r="B419" s="277" t="s">
        <v>1004</v>
      </c>
      <c r="C419" s="276"/>
    </row>
    <row r="420" spans="1:3" hidden="1" x14ac:dyDescent="0.4">
      <c r="A420" s="276" t="s">
        <v>1005</v>
      </c>
      <c r="B420" s="277" t="s">
        <v>682</v>
      </c>
      <c r="C420" s="276" t="s">
        <v>657</v>
      </c>
    </row>
    <row r="421" spans="1:3" hidden="1" x14ac:dyDescent="0.4">
      <c r="A421" s="276" t="s">
        <v>1005</v>
      </c>
      <c r="B421" s="277" t="s">
        <v>683</v>
      </c>
      <c r="C421" s="276"/>
    </row>
    <row r="422" spans="1:3" hidden="1" x14ac:dyDescent="0.4">
      <c r="A422" s="276" t="s">
        <v>1005</v>
      </c>
      <c r="B422" s="277" t="s">
        <v>1006</v>
      </c>
      <c r="C422" s="276"/>
    </row>
    <row r="423" spans="1:3" hidden="1" x14ac:dyDescent="0.4">
      <c r="A423" s="276" t="s">
        <v>1005</v>
      </c>
      <c r="B423" s="277" t="s">
        <v>1007</v>
      </c>
      <c r="C423" s="276"/>
    </row>
    <row r="424" spans="1:3" hidden="1" x14ac:dyDescent="0.4">
      <c r="A424" s="276" t="s">
        <v>1005</v>
      </c>
      <c r="B424" s="277" t="s">
        <v>1008</v>
      </c>
      <c r="C424" s="276"/>
    </row>
    <row r="425" spans="1:3" hidden="1" x14ac:dyDescent="0.4">
      <c r="A425" s="276" t="s">
        <v>1005</v>
      </c>
      <c r="B425" s="277" t="s">
        <v>1009</v>
      </c>
      <c r="C425" s="276"/>
    </row>
    <row r="426" spans="1:3" hidden="1" x14ac:dyDescent="0.4">
      <c r="A426" s="276" t="s">
        <v>1010</v>
      </c>
      <c r="B426" s="277" t="s">
        <v>682</v>
      </c>
      <c r="C426" s="276" t="s">
        <v>657</v>
      </c>
    </row>
    <row r="427" spans="1:3" hidden="1" x14ac:dyDescent="0.4">
      <c r="A427" s="276" t="s">
        <v>1010</v>
      </c>
      <c r="B427" s="277" t="s">
        <v>683</v>
      </c>
      <c r="C427" s="276"/>
    </row>
    <row r="428" spans="1:3" hidden="1" x14ac:dyDescent="0.4">
      <c r="A428" s="276" t="s">
        <v>1010</v>
      </c>
      <c r="B428" s="279" t="s">
        <v>1011</v>
      </c>
      <c r="C428" s="276"/>
    </row>
    <row r="429" spans="1:3" hidden="1" x14ac:dyDescent="0.4">
      <c r="A429" s="276" t="s">
        <v>1010</v>
      </c>
      <c r="B429" s="277" t="s">
        <v>731</v>
      </c>
      <c r="C429" s="276"/>
    </row>
    <row r="430" spans="1:3" hidden="1" x14ac:dyDescent="0.4">
      <c r="A430" s="276" t="s">
        <v>1010</v>
      </c>
      <c r="B430" s="277" t="s">
        <v>1008</v>
      </c>
      <c r="C430" s="276"/>
    </row>
    <row r="431" spans="1:3" hidden="1" x14ac:dyDescent="0.4">
      <c r="A431" s="276" t="s">
        <v>1010</v>
      </c>
      <c r="B431" s="277" t="s">
        <v>1012</v>
      </c>
      <c r="C431" s="276"/>
    </row>
    <row r="432" spans="1:3" hidden="1" x14ac:dyDescent="0.4">
      <c r="A432" s="276" t="s">
        <v>1013</v>
      </c>
      <c r="B432" s="277" t="s">
        <v>644</v>
      </c>
      <c r="C432" s="276" t="s">
        <v>657</v>
      </c>
    </row>
    <row r="433" spans="1:3" hidden="1" x14ac:dyDescent="0.4">
      <c r="A433" s="276" t="s">
        <v>1013</v>
      </c>
      <c r="B433" s="277" t="s">
        <v>646</v>
      </c>
      <c r="C433" s="276"/>
    </row>
    <row r="434" spans="1:3" hidden="1" x14ac:dyDescent="0.4">
      <c r="A434" s="276" t="s">
        <v>1013</v>
      </c>
      <c r="B434" s="277" t="s">
        <v>736</v>
      </c>
      <c r="C434" s="276"/>
    </row>
    <row r="435" spans="1:3" hidden="1" x14ac:dyDescent="0.4">
      <c r="A435" s="276" t="s">
        <v>1014</v>
      </c>
      <c r="B435" s="277" t="s">
        <v>646</v>
      </c>
      <c r="C435" s="276" t="s">
        <v>657</v>
      </c>
    </row>
    <row r="436" spans="1:3" hidden="1" x14ac:dyDescent="0.4">
      <c r="A436" s="276" t="s">
        <v>1014</v>
      </c>
      <c r="B436" s="277" t="s">
        <v>644</v>
      </c>
      <c r="C436" s="276"/>
    </row>
    <row r="437" spans="1:3" hidden="1" x14ac:dyDescent="0.4">
      <c r="A437" s="276" t="s">
        <v>1014</v>
      </c>
      <c r="B437" s="277" t="s">
        <v>738</v>
      </c>
      <c r="C437" s="276"/>
    </row>
    <row r="438" spans="1:3" hidden="1" x14ac:dyDescent="0.4">
      <c r="A438" s="276" t="s">
        <v>1014</v>
      </c>
      <c r="B438" s="277" t="s">
        <v>739</v>
      </c>
      <c r="C438" s="276"/>
    </row>
  </sheetData>
  <autoFilter ref="A1:C438" xr:uid="{00000000-0009-0000-0000-000003000000}">
    <filterColumn colId="0">
      <filters>
        <filter val="SES_Balanco.csv"/>
      </filters>
    </filterColumn>
  </autoFilter>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8"/>
  <sheetViews>
    <sheetView topLeftCell="A64" workbookViewId="0">
      <selection activeCell="B2" sqref="B2"/>
    </sheetView>
  </sheetViews>
  <sheetFormatPr defaultColWidth="33.15234375" defaultRowHeight="14.6" x14ac:dyDescent="0.4"/>
  <cols>
    <col min="1" max="1" width="29.69140625" customWidth="1"/>
    <col min="2" max="2" width="86.53515625" style="276" bestFit="1" customWidth="1"/>
  </cols>
  <sheetData>
    <row r="1" spans="1:2" x14ac:dyDescent="0.4">
      <c r="A1" s="280" t="s">
        <v>640</v>
      </c>
      <c r="B1" s="281" t="s">
        <v>1015</v>
      </c>
    </row>
    <row r="2" spans="1:2" x14ac:dyDescent="0.4">
      <c r="A2" s="276" t="s">
        <v>673</v>
      </c>
      <c r="B2" s="276" t="s">
        <v>113</v>
      </c>
    </row>
    <row r="3" spans="1:2" x14ac:dyDescent="0.4">
      <c r="A3" s="276" t="s">
        <v>673</v>
      </c>
      <c r="B3" s="276" t="s">
        <v>549</v>
      </c>
    </row>
    <row r="4" spans="1:2" x14ac:dyDescent="0.4">
      <c r="A4" s="276" t="s">
        <v>673</v>
      </c>
      <c r="B4" s="276" t="s">
        <v>121</v>
      </c>
    </row>
    <row r="5" spans="1:2" x14ac:dyDescent="0.4">
      <c r="A5" s="276" t="s">
        <v>673</v>
      </c>
      <c r="B5" s="276" t="s">
        <v>122</v>
      </c>
    </row>
    <row r="6" spans="1:2" x14ac:dyDescent="0.4">
      <c r="A6" s="276" t="s">
        <v>673</v>
      </c>
      <c r="B6" s="276" t="s">
        <v>123</v>
      </c>
    </row>
    <row r="7" spans="1:2" x14ac:dyDescent="0.4">
      <c r="A7" s="276" t="s">
        <v>673</v>
      </c>
      <c r="B7" s="276" t="s">
        <v>124</v>
      </c>
    </row>
    <row r="8" spans="1:2" x14ac:dyDescent="0.4">
      <c r="A8" s="276" t="s">
        <v>673</v>
      </c>
      <c r="B8" s="276" t="s">
        <v>183</v>
      </c>
    </row>
    <row r="9" spans="1:2" x14ac:dyDescent="0.4">
      <c r="A9" s="276" t="s">
        <v>673</v>
      </c>
      <c r="B9" s="276" t="s">
        <v>174</v>
      </c>
    </row>
    <row r="10" spans="1:2" x14ac:dyDescent="0.4">
      <c r="A10" s="276" t="s">
        <v>673</v>
      </c>
      <c r="B10" s="276" t="s">
        <v>222</v>
      </c>
    </row>
    <row r="11" spans="1:2" x14ac:dyDescent="0.4">
      <c r="A11" s="276" t="s">
        <v>673</v>
      </c>
      <c r="B11" s="276" t="s">
        <v>178</v>
      </c>
    </row>
    <row r="12" spans="1:2" x14ac:dyDescent="0.4">
      <c r="A12" s="276" t="s">
        <v>673</v>
      </c>
      <c r="B12" s="276" t="s">
        <v>189</v>
      </c>
    </row>
    <row r="13" spans="1:2" x14ac:dyDescent="0.4">
      <c r="A13" s="276" t="s">
        <v>673</v>
      </c>
      <c r="B13" s="276" t="s">
        <v>177</v>
      </c>
    </row>
    <row r="14" spans="1:2" x14ac:dyDescent="0.4">
      <c r="A14" s="276" t="s">
        <v>673</v>
      </c>
      <c r="B14" s="276" t="s">
        <v>148</v>
      </c>
    </row>
    <row r="15" spans="1:2" x14ac:dyDescent="0.4">
      <c r="A15" s="276" t="s">
        <v>673</v>
      </c>
      <c r="B15" s="276" t="s">
        <v>503</v>
      </c>
    </row>
    <row r="16" spans="1:2" x14ac:dyDescent="0.4">
      <c r="A16" s="276" t="s">
        <v>673</v>
      </c>
      <c r="B16" s="276" t="s">
        <v>468</v>
      </c>
    </row>
    <row r="17" spans="1:2" x14ac:dyDescent="0.4">
      <c r="A17" s="276" t="s">
        <v>673</v>
      </c>
      <c r="B17" s="276" t="s">
        <v>133</v>
      </c>
    </row>
    <row r="18" spans="1:2" x14ac:dyDescent="0.4">
      <c r="A18" s="276" t="s">
        <v>673</v>
      </c>
      <c r="B18" s="276" t="s">
        <v>182</v>
      </c>
    </row>
    <row r="19" spans="1:2" x14ac:dyDescent="0.4">
      <c r="A19" s="276" t="s">
        <v>673</v>
      </c>
      <c r="B19" s="276" t="s">
        <v>408</v>
      </c>
    </row>
    <row r="20" spans="1:2" x14ac:dyDescent="0.4">
      <c r="A20" s="276" t="s">
        <v>673</v>
      </c>
      <c r="B20" s="276" t="s">
        <v>103</v>
      </c>
    </row>
    <row r="21" spans="1:2" x14ac:dyDescent="0.4">
      <c r="A21" s="276" t="s">
        <v>673</v>
      </c>
      <c r="B21" s="276" t="s">
        <v>156</v>
      </c>
    </row>
    <row r="22" spans="1:2" x14ac:dyDescent="0.4">
      <c r="A22" s="276" t="s">
        <v>673</v>
      </c>
      <c r="B22" s="276" t="s">
        <v>104</v>
      </c>
    </row>
    <row r="23" spans="1:2" x14ac:dyDescent="0.4">
      <c r="A23" s="276" t="s">
        <v>673</v>
      </c>
      <c r="B23" s="276" t="s">
        <v>332</v>
      </c>
    </row>
    <row r="24" spans="1:2" x14ac:dyDescent="0.4">
      <c r="A24" s="276" t="s">
        <v>673</v>
      </c>
      <c r="B24" s="276" t="s">
        <v>360</v>
      </c>
    </row>
    <row r="25" spans="1:2" x14ac:dyDescent="0.4">
      <c r="A25" s="276" t="s">
        <v>673</v>
      </c>
      <c r="B25" s="276" t="s">
        <v>370</v>
      </c>
    </row>
    <row r="26" spans="1:2" x14ac:dyDescent="0.4">
      <c r="A26" s="276" t="s">
        <v>673</v>
      </c>
      <c r="B26" s="276" t="s">
        <v>374</v>
      </c>
    </row>
    <row r="27" spans="1:2" x14ac:dyDescent="0.4">
      <c r="A27" s="276" t="s">
        <v>673</v>
      </c>
      <c r="B27" s="276" t="s">
        <v>379</v>
      </c>
    </row>
    <row r="28" spans="1:2" x14ac:dyDescent="0.4">
      <c r="A28" s="276" t="s">
        <v>673</v>
      </c>
      <c r="B28" s="276" t="s">
        <v>383</v>
      </c>
    </row>
    <row r="29" spans="1:2" x14ac:dyDescent="0.4">
      <c r="A29" s="276" t="s">
        <v>673</v>
      </c>
      <c r="B29" s="276" t="s">
        <v>387</v>
      </c>
    </row>
    <row r="30" spans="1:2" x14ac:dyDescent="0.4">
      <c r="A30" s="276" t="s">
        <v>673</v>
      </c>
      <c r="B30" s="276" t="s">
        <v>390</v>
      </c>
    </row>
    <row r="31" spans="1:2" x14ac:dyDescent="0.4">
      <c r="A31" s="276" t="s">
        <v>673</v>
      </c>
      <c r="B31" s="276" t="s">
        <v>393</v>
      </c>
    </row>
    <row r="32" spans="1:2" x14ac:dyDescent="0.4">
      <c r="A32" s="276" t="s">
        <v>673</v>
      </c>
      <c r="B32" s="276" t="s">
        <v>397</v>
      </c>
    </row>
    <row r="33" spans="1:2" x14ac:dyDescent="0.4">
      <c r="A33" s="276" t="s">
        <v>673</v>
      </c>
      <c r="B33" s="276" t="s">
        <v>414</v>
      </c>
    </row>
    <row r="34" spans="1:2" x14ac:dyDescent="0.4">
      <c r="A34" s="276" t="s">
        <v>673</v>
      </c>
      <c r="B34" s="276" t="s">
        <v>420</v>
      </c>
    </row>
    <row r="35" spans="1:2" x14ac:dyDescent="0.4">
      <c r="A35" s="276" t="s">
        <v>681</v>
      </c>
      <c r="B35" s="276" t="s">
        <v>113</v>
      </c>
    </row>
    <row r="36" spans="1:2" x14ac:dyDescent="0.4">
      <c r="A36" s="276" t="s">
        <v>681</v>
      </c>
      <c r="B36" s="276" t="s">
        <v>113</v>
      </c>
    </row>
    <row r="37" spans="1:2" x14ac:dyDescent="0.4">
      <c r="A37" s="276" t="s">
        <v>681</v>
      </c>
      <c r="B37" s="276" t="s">
        <v>549</v>
      </c>
    </row>
    <row r="38" spans="1:2" x14ac:dyDescent="0.4">
      <c r="A38" s="276" t="s">
        <v>681</v>
      </c>
      <c r="B38" s="276" t="s">
        <v>549</v>
      </c>
    </row>
    <row r="39" spans="1:2" x14ac:dyDescent="0.4">
      <c r="A39" s="276" t="s">
        <v>681</v>
      </c>
      <c r="B39" s="276" t="s">
        <v>113</v>
      </c>
    </row>
    <row r="40" spans="1:2" x14ac:dyDescent="0.4">
      <c r="A40" s="276" t="s">
        <v>681</v>
      </c>
      <c r="B40" s="276" t="s">
        <v>113</v>
      </c>
    </row>
    <row r="41" spans="1:2" x14ac:dyDescent="0.4">
      <c r="A41" s="276" t="s">
        <v>681</v>
      </c>
      <c r="B41" s="276" t="s">
        <v>75</v>
      </c>
    </row>
    <row r="42" spans="1:2" x14ac:dyDescent="0.4">
      <c r="A42" s="276" t="s">
        <v>681</v>
      </c>
      <c r="B42" s="276" t="s">
        <v>76</v>
      </c>
    </row>
    <row r="43" spans="1:2" x14ac:dyDescent="0.4">
      <c r="A43" s="276" t="s">
        <v>681</v>
      </c>
      <c r="B43" s="276" t="s">
        <v>75</v>
      </c>
    </row>
    <row r="44" spans="1:2" x14ac:dyDescent="0.4">
      <c r="A44" s="276" t="s">
        <v>681</v>
      </c>
      <c r="B44" s="276" t="s">
        <v>76</v>
      </c>
    </row>
    <row r="45" spans="1:2" x14ac:dyDescent="0.4">
      <c r="A45" s="276" t="s">
        <v>681</v>
      </c>
      <c r="B45" s="276" t="s">
        <v>142</v>
      </c>
    </row>
    <row r="46" spans="1:2" x14ac:dyDescent="0.4">
      <c r="A46" s="276" t="s">
        <v>681</v>
      </c>
      <c r="B46" s="276" t="s">
        <v>143</v>
      </c>
    </row>
    <row r="47" spans="1:2" x14ac:dyDescent="0.4">
      <c r="A47" s="276" t="s">
        <v>735</v>
      </c>
      <c r="B47" s="276" t="s">
        <v>138</v>
      </c>
    </row>
    <row r="48" spans="1:2" x14ac:dyDescent="0.4">
      <c r="A48" s="276" t="s">
        <v>737</v>
      </c>
      <c r="B48" s="276" t="s">
        <v>47</v>
      </c>
    </row>
    <row r="49" spans="1:2" x14ac:dyDescent="0.4">
      <c r="A49" s="276" t="s">
        <v>737</v>
      </c>
      <c r="B49" s="276" t="s">
        <v>48</v>
      </c>
    </row>
    <row r="50" spans="1:2" x14ac:dyDescent="0.4">
      <c r="A50" s="276" t="s">
        <v>740</v>
      </c>
      <c r="B50" s="276" t="s">
        <v>68</v>
      </c>
    </row>
    <row r="51" spans="1:2" x14ac:dyDescent="0.4">
      <c r="A51" s="276" t="s">
        <v>740</v>
      </c>
      <c r="B51" s="276" t="s">
        <v>68</v>
      </c>
    </row>
    <row r="52" spans="1:2" x14ac:dyDescent="0.4">
      <c r="A52" s="276" t="s">
        <v>740</v>
      </c>
      <c r="B52" s="276" t="s">
        <v>68</v>
      </c>
    </row>
    <row r="53" spans="1:2" x14ac:dyDescent="0.4">
      <c r="A53" s="276" t="s">
        <v>740</v>
      </c>
      <c r="B53" s="276" t="s">
        <v>68</v>
      </c>
    </row>
    <row r="54" spans="1:2" x14ac:dyDescent="0.4">
      <c r="A54" s="276" t="s">
        <v>740</v>
      </c>
      <c r="B54" s="276" t="s">
        <v>68</v>
      </c>
    </row>
    <row r="55" spans="1:2" x14ac:dyDescent="0.4">
      <c r="A55" s="276" t="s">
        <v>740</v>
      </c>
      <c r="B55" s="276" t="s">
        <v>68</v>
      </c>
    </row>
    <row r="56" spans="1:2" x14ac:dyDescent="0.4">
      <c r="A56" s="276" t="s">
        <v>740</v>
      </c>
      <c r="B56" s="276" t="s">
        <v>77</v>
      </c>
    </row>
    <row r="57" spans="1:2" x14ac:dyDescent="0.4">
      <c r="A57" s="276" t="s">
        <v>740</v>
      </c>
      <c r="B57" s="276" t="s">
        <v>78</v>
      </c>
    </row>
    <row r="58" spans="1:2" x14ac:dyDescent="0.4">
      <c r="A58" s="276" t="s">
        <v>740</v>
      </c>
      <c r="B58" s="276" t="s">
        <v>77</v>
      </c>
    </row>
    <row r="59" spans="1:2" x14ac:dyDescent="0.4">
      <c r="A59" s="276" t="s">
        <v>740</v>
      </c>
      <c r="B59" s="276" t="s">
        <v>78</v>
      </c>
    </row>
    <row r="60" spans="1:2" x14ac:dyDescent="0.4">
      <c r="A60" s="276" t="s">
        <v>745</v>
      </c>
      <c r="B60" s="276" t="s">
        <v>176</v>
      </c>
    </row>
    <row r="61" spans="1:2" x14ac:dyDescent="0.4">
      <c r="A61" s="276" t="s">
        <v>204</v>
      </c>
      <c r="B61" s="276" t="s">
        <v>168</v>
      </c>
    </row>
    <row r="62" spans="1:2" x14ac:dyDescent="0.4">
      <c r="A62" s="276" t="s">
        <v>204</v>
      </c>
      <c r="B62" s="276" t="s">
        <v>169</v>
      </c>
    </row>
    <row r="63" spans="1:2" x14ac:dyDescent="0.4">
      <c r="A63" s="276" t="s">
        <v>204</v>
      </c>
      <c r="B63" s="276" t="s">
        <v>170</v>
      </c>
    </row>
    <row r="64" spans="1:2" x14ac:dyDescent="0.4">
      <c r="A64" s="276" t="s">
        <v>204</v>
      </c>
      <c r="B64" s="276" t="s">
        <v>171</v>
      </c>
    </row>
    <row r="65" spans="1:2" x14ac:dyDescent="0.4">
      <c r="A65" s="276" t="s">
        <v>754</v>
      </c>
      <c r="B65" s="276" t="s">
        <v>114</v>
      </c>
    </row>
    <row r="66" spans="1:2" x14ac:dyDescent="0.4">
      <c r="A66" s="276" t="s">
        <v>754</v>
      </c>
      <c r="B66" s="276" t="s">
        <v>114</v>
      </c>
    </row>
    <row r="67" spans="1:2" x14ac:dyDescent="0.4">
      <c r="A67" s="276" t="s">
        <v>754</v>
      </c>
      <c r="B67" s="276" t="s">
        <v>114</v>
      </c>
    </row>
    <row r="68" spans="1:2" x14ac:dyDescent="0.4">
      <c r="A68" s="276" t="s">
        <v>754</v>
      </c>
      <c r="B68" s="276" t="s">
        <v>114</v>
      </c>
    </row>
    <row r="69" spans="1:2" x14ac:dyDescent="0.4">
      <c r="A69" s="276" t="s">
        <v>754</v>
      </c>
      <c r="B69" s="276" t="s">
        <v>114</v>
      </c>
    </row>
    <row r="70" spans="1:2" x14ac:dyDescent="0.4">
      <c r="A70" s="276" t="s">
        <v>754</v>
      </c>
      <c r="B70" s="276" t="s">
        <v>114</v>
      </c>
    </row>
    <row r="71" spans="1:2" x14ac:dyDescent="0.4">
      <c r="A71" s="276" t="s">
        <v>754</v>
      </c>
      <c r="B71" s="276" t="s">
        <v>116</v>
      </c>
    </row>
    <row r="72" spans="1:2" x14ac:dyDescent="0.4">
      <c r="A72" s="276" t="s">
        <v>754</v>
      </c>
      <c r="B72" s="276" t="s">
        <v>117</v>
      </c>
    </row>
    <row r="73" spans="1:2" x14ac:dyDescent="0.4">
      <c r="A73" s="276" t="s">
        <v>754</v>
      </c>
      <c r="B73" s="276" t="s">
        <v>116</v>
      </c>
    </row>
    <row r="74" spans="1:2" x14ac:dyDescent="0.4">
      <c r="A74" s="276" t="s">
        <v>754</v>
      </c>
      <c r="B74" s="276" t="s">
        <v>117</v>
      </c>
    </row>
    <row r="75" spans="1:2" x14ac:dyDescent="0.4">
      <c r="A75" s="276" t="s">
        <v>755</v>
      </c>
      <c r="B75" s="276" t="s">
        <v>175</v>
      </c>
    </row>
    <row r="76" spans="1:2" x14ac:dyDescent="0.4">
      <c r="A76" s="276" t="s">
        <v>755</v>
      </c>
      <c r="B76" s="276" t="s">
        <v>56</v>
      </c>
    </row>
    <row r="77" spans="1:2" x14ac:dyDescent="0.4">
      <c r="A77" s="276" t="s">
        <v>777</v>
      </c>
      <c r="B77" s="276" t="s">
        <v>139</v>
      </c>
    </row>
    <row r="78" spans="1:2" x14ac:dyDescent="0.4">
      <c r="A78" s="276" t="s">
        <v>777</v>
      </c>
      <c r="B78" s="276" t="s">
        <v>140</v>
      </c>
    </row>
    <row r="79" spans="1:2" x14ac:dyDescent="0.4">
      <c r="A79" s="276" t="s">
        <v>777</v>
      </c>
      <c r="B79" s="276" t="s">
        <v>141</v>
      </c>
    </row>
    <row r="80" spans="1:2" x14ac:dyDescent="0.4">
      <c r="A80" s="276" t="s">
        <v>987</v>
      </c>
      <c r="B80" s="276" t="s">
        <v>112</v>
      </c>
    </row>
    <row r="81" spans="1:2" x14ac:dyDescent="0.4">
      <c r="A81" s="276" t="s">
        <v>987</v>
      </c>
      <c r="B81" s="276" t="s">
        <v>112</v>
      </c>
    </row>
    <row r="82" spans="1:2" x14ac:dyDescent="0.4">
      <c r="A82" s="276" t="s">
        <v>987</v>
      </c>
      <c r="B82" s="276" t="s">
        <v>115</v>
      </c>
    </row>
    <row r="83" spans="1:2" x14ac:dyDescent="0.4">
      <c r="A83" s="276" t="s">
        <v>987</v>
      </c>
      <c r="B83" s="276" t="s">
        <v>10</v>
      </c>
    </row>
    <row r="84" spans="1:2" x14ac:dyDescent="0.4">
      <c r="A84" s="276" t="s">
        <v>987</v>
      </c>
      <c r="B84" s="276" t="s">
        <v>216</v>
      </c>
    </row>
    <row r="85" spans="1:2" x14ac:dyDescent="0.4">
      <c r="A85" s="276" t="s">
        <v>987</v>
      </c>
      <c r="B85" s="276" t="s">
        <v>121</v>
      </c>
    </row>
    <row r="86" spans="1:2" x14ac:dyDescent="0.4">
      <c r="A86" s="276" t="s">
        <v>987</v>
      </c>
      <c r="B86" s="276" t="s">
        <v>147</v>
      </c>
    </row>
    <row r="87" spans="1:2" x14ac:dyDescent="0.4">
      <c r="A87" s="276" t="s">
        <v>643</v>
      </c>
      <c r="B87" s="276" t="s">
        <v>112</v>
      </c>
    </row>
    <row r="88" spans="1:2" x14ac:dyDescent="0.4">
      <c r="A88" s="276" t="s">
        <v>643</v>
      </c>
      <c r="B88" s="276" t="s">
        <v>112</v>
      </c>
    </row>
    <row r="89" spans="1:2" x14ac:dyDescent="0.4">
      <c r="A89" s="276" t="s">
        <v>643</v>
      </c>
      <c r="B89" s="276" t="s">
        <v>105</v>
      </c>
    </row>
    <row r="90" spans="1:2" x14ac:dyDescent="0.4">
      <c r="A90" s="276" t="s">
        <v>643</v>
      </c>
      <c r="B90" s="276" t="s">
        <v>147</v>
      </c>
    </row>
    <row r="91" spans="1:2" x14ac:dyDescent="0.4">
      <c r="A91" s="276" t="s">
        <v>656</v>
      </c>
      <c r="B91" s="276" t="s">
        <v>112</v>
      </c>
    </row>
    <row r="92" spans="1:2" x14ac:dyDescent="0.4">
      <c r="A92" s="276" t="s">
        <v>656</v>
      </c>
      <c r="B92" s="276" t="s">
        <v>112</v>
      </c>
    </row>
    <row r="93" spans="1:2" x14ac:dyDescent="0.4">
      <c r="A93" s="276" t="s">
        <v>656</v>
      </c>
      <c r="B93" s="276" t="s">
        <v>82</v>
      </c>
    </row>
    <row r="94" spans="1:2" x14ac:dyDescent="0.4">
      <c r="A94" s="276" t="s">
        <v>656</v>
      </c>
      <c r="B94" s="276" t="s">
        <v>109</v>
      </c>
    </row>
    <row r="95" spans="1:2" x14ac:dyDescent="0.4">
      <c r="A95" s="276" t="s">
        <v>656</v>
      </c>
      <c r="B95" s="276" t="s">
        <v>110</v>
      </c>
    </row>
    <row r="96" spans="1:2" x14ac:dyDescent="0.4">
      <c r="A96" s="276" t="s">
        <v>656</v>
      </c>
      <c r="B96" s="276" t="s">
        <v>225</v>
      </c>
    </row>
    <row r="97" spans="1:2" x14ac:dyDescent="0.4">
      <c r="A97" s="276" t="s">
        <v>656</v>
      </c>
      <c r="B97" s="276" t="s">
        <v>226</v>
      </c>
    </row>
    <row r="98" spans="1:2" x14ac:dyDescent="0.4">
      <c r="A98" s="276" t="s">
        <v>656</v>
      </c>
      <c r="B98" s="276" t="s">
        <v>243</v>
      </c>
    </row>
    <row r="99" spans="1:2" x14ac:dyDescent="0.4">
      <c r="A99" s="276" t="s">
        <v>656</v>
      </c>
      <c r="B99" s="276" t="s">
        <v>10</v>
      </c>
    </row>
    <row r="100" spans="1:2" x14ac:dyDescent="0.4">
      <c r="A100" s="276" t="s">
        <v>656</v>
      </c>
      <c r="B100" s="276" t="s">
        <v>216</v>
      </c>
    </row>
    <row r="101" spans="1:2" x14ac:dyDescent="0.4">
      <c r="A101" s="276" t="s">
        <v>656</v>
      </c>
      <c r="B101" s="276" t="s">
        <v>16</v>
      </c>
    </row>
    <row r="102" spans="1:2" x14ac:dyDescent="0.4">
      <c r="A102" s="276" t="s">
        <v>656</v>
      </c>
      <c r="B102" s="276" t="s">
        <v>17</v>
      </c>
    </row>
    <row r="103" spans="1:2" x14ac:dyDescent="0.4">
      <c r="A103" s="276" t="s">
        <v>656</v>
      </c>
      <c r="B103" s="276" t="s">
        <v>18</v>
      </c>
    </row>
    <row r="104" spans="1:2" x14ac:dyDescent="0.4">
      <c r="A104" s="276" t="s">
        <v>656</v>
      </c>
      <c r="B104" s="276" t="s">
        <v>19</v>
      </c>
    </row>
    <row r="105" spans="1:2" x14ac:dyDescent="0.4">
      <c r="A105" s="276" t="s">
        <v>656</v>
      </c>
      <c r="B105" s="276" t="s">
        <v>97</v>
      </c>
    </row>
    <row r="106" spans="1:2" x14ac:dyDescent="0.4">
      <c r="A106" s="276" t="s">
        <v>656</v>
      </c>
      <c r="B106" s="276" t="s">
        <v>151</v>
      </c>
    </row>
    <row r="107" spans="1:2" x14ac:dyDescent="0.4">
      <c r="A107" s="276" t="s">
        <v>656</v>
      </c>
      <c r="B107" s="276" t="s">
        <v>101</v>
      </c>
    </row>
    <row r="108" spans="1:2" x14ac:dyDescent="0.4">
      <c r="A108" s="276" t="s">
        <v>656</v>
      </c>
      <c r="B108" s="276" t="s">
        <v>152</v>
      </c>
    </row>
    <row r="109" spans="1:2" x14ac:dyDescent="0.4">
      <c r="A109" s="276" t="s">
        <v>656</v>
      </c>
      <c r="B109" s="276" t="s">
        <v>102</v>
      </c>
    </row>
    <row r="110" spans="1:2" x14ac:dyDescent="0.4">
      <c r="A110" s="276" t="s">
        <v>656</v>
      </c>
      <c r="B110" s="276" t="s">
        <v>153</v>
      </c>
    </row>
    <row r="111" spans="1:2" x14ac:dyDescent="0.4">
      <c r="A111" s="276" t="s">
        <v>656</v>
      </c>
      <c r="B111" s="276" t="s">
        <v>217</v>
      </c>
    </row>
    <row r="112" spans="1:2" x14ac:dyDescent="0.4">
      <c r="A112" s="276" t="s">
        <v>656</v>
      </c>
      <c r="B112" s="276" t="s">
        <v>105</v>
      </c>
    </row>
    <row r="113" spans="1:2" x14ac:dyDescent="0.4">
      <c r="A113" s="276" t="s">
        <v>656</v>
      </c>
      <c r="B113" s="276" t="s">
        <v>365</v>
      </c>
    </row>
    <row r="114" spans="1:2" x14ac:dyDescent="0.4">
      <c r="A114" s="276" t="s">
        <v>1013</v>
      </c>
      <c r="B114" s="276" t="s">
        <v>134</v>
      </c>
    </row>
    <row r="115" spans="1:2" x14ac:dyDescent="0.4">
      <c r="A115" s="276" t="s">
        <v>1014</v>
      </c>
      <c r="B115" s="276" t="s">
        <v>42</v>
      </c>
    </row>
    <row r="116" spans="1:2" x14ac:dyDescent="0.4">
      <c r="A116" s="276" t="s">
        <v>1014</v>
      </c>
      <c r="B116" s="276" t="s">
        <v>43</v>
      </c>
    </row>
    <row r="117" spans="1:2" x14ac:dyDescent="0.4">
      <c r="A117" s="276" t="s">
        <v>1014</v>
      </c>
      <c r="B117" s="276" t="s">
        <v>42</v>
      </c>
    </row>
    <row r="118" spans="1:2" x14ac:dyDescent="0.4">
      <c r="A118" s="276" t="s">
        <v>1014</v>
      </c>
      <c r="B118" s="276" t="s">
        <v>43</v>
      </c>
    </row>
  </sheetData>
  <autoFilter ref="A1:B118" xr:uid="{00000000-0009-0000-0000-000004000000}">
    <sortState xmlns:xlrd2="http://schemas.microsoft.com/office/spreadsheetml/2017/richdata2" ref="A2:B118">
      <sortCondition ref="A1:A118"/>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Indicadores_DataSeg</vt:lpstr>
      <vt:lpstr>legenda</vt:lpstr>
      <vt:lpstr>Proposta de novos indicadores</vt:lpstr>
      <vt:lpstr>Mapeamento Bases Susep</vt:lpstr>
      <vt:lpstr>Mapeamento Indicadores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Tavares</dc:creator>
  <cp:lastModifiedBy>Luiz Augusto de Almeida de Paiva / SUESP</cp:lastModifiedBy>
  <dcterms:created xsi:type="dcterms:W3CDTF">2014-01-28T15:46:25Z</dcterms:created>
  <dcterms:modified xsi:type="dcterms:W3CDTF">2025-06-25T14:15:00Z</dcterms:modified>
</cp:coreProperties>
</file>